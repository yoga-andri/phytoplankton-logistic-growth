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7d33a5aae4236b0/Bismillah 3.5 tahun/Tugas Akhir/TA_Fix/"/>
    </mc:Choice>
  </mc:AlternateContent>
  <xr:revisionPtr revIDLastSave="360" documentId="13_ncr:1_{7366B23D-C3AD-4BF3-8B1F-0B22787626CE}" xr6:coauthVersionLast="47" xr6:coauthVersionMax="47" xr10:uidLastSave="{208799F8-E64C-4228-B98B-409E89A098BC}"/>
  <bookViews>
    <workbookView xWindow="-110" yWindow="-110" windowWidth="19420" windowHeight="10300" tabRatio="963" firstSheet="1" activeTab="1" xr2:uid="{E610D9D6-12D1-4AF0-B582-95E354FCC1FC}"/>
  </bookViews>
  <sheets>
    <sheet name="Data Fix" sheetId="29" state="hidden" r:id="rId1"/>
    <sheet name="Logistics Model 6 hours" sheetId="12" r:id="rId2"/>
    <sheet name="Logistics Model 12 hours" sheetId="11" r:id="rId3"/>
    <sheet name="Logistics Model 24 hours" sheetId="10" r:id="rId4"/>
    <sheet name="Variable analysis" sheetId="8" r:id="rId5"/>
    <sheet name="Formula r &amp; t0" sheetId="27" state="hidden" r:id="rId6"/>
    <sheet name="Modified Logistic Model" sheetId="28" r:id="rId7"/>
    <sheet name="Overall Logistic Model" sheetId="13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12" l="1"/>
  <c r="K15" i="27"/>
  <c r="K1" i="27"/>
  <c r="C16" i="27"/>
  <c r="B21" i="27" s="1"/>
  <c r="C21" i="27" s="1"/>
  <c r="C2" i="27"/>
  <c r="Q2" i="28" s="1"/>
  <c r="H24" i="28"/>
  <c r="M19" i="28"/>
  <c r="M18" i="28"/>
  <c r="M17" i="28"/>
  <c r="Q13" i="28"/>
  <c r="Q12" i="28"/>
  <c r="A24" i="27"/>
  <c r="K16" i="27" s="1"/>
  <c r="D23" i="27"/>
  <c r="D22" i="27"/>
  <c r="D21" i="27"/>
  <c r="A10" i="27"/>
  <c r="K2" i="27" s="1"/>
  <c r="D8" i="27"/>
  <c r="D9" i="27"/>
  <c r="D7" i="27"/>
  <c r="L1" i="27" l="1"/>
  <c r="L15" i="27"/>
  <c r="D24" i="27"/>
  <c r="L16" i="27" s="1"/>
  <c r="Q7" i="28"/>
  <c r="B8" i="27"/>
  <c r="C8" i="27" s="1"/>
  <c r="L12" i="28"/>
  <c r="B23" i="27"/>
  <c r="C23" i="27" s="1"/>
  <c r="B22" i="27"/>
  <c r="C22" i="27" s="1"/>
  <c r="D10" i="27"/>
  <c r="L2" i="27" s="1"/>
  <c r="K5" i="27" s="1" a="1"/>
  <c r="L5" i="27" s="1"/>
  <c r="B9" i="27"/>
  <c r="C9" i="27" s="1"/>
  <c r="B7" i="27"/>
  <c r="C7" i="27" s="1"/>
  <c r="B6" i="8"/>
  <c r="H2" i="10"/>
  <c r="P19" i="8" s="1"/>
  <c r="H2" i="11"/>
  <c r="P18" i="8" s="1"/>
  <c r="H2" i="12"/>
  <c r="P17" i="8" l="1"/>
  <c r="K19" i="27" a="1"/>
  <c r="K20" i="27" s="1"/>
  <c r="L20" i="27"/>
  <c r="K19" i="27"/>
  <c r="L6" i="27"/>
  <c r="K6" i="27"/>
  <c r="K5" i="27"/>
  <c r="B10" i="27"/>
  <c r="O1" i="27" s="1"/>
  <c r="C24" i="27"/>
  <c r="O16" i="27" s="1"/>
  <c r="C10" i="27"/>
  <c r="O2" i="27" s="1"/>
  <c r="B24" i="27"/>
  <c r="O15" i="27" s="1"/>
  <c r="L19" i="27" l="1"/>
  <c r="O22" i="27" a="1"/>
  <c r="O22" i="27" s="1"/>
  <c r="O8" i="27" a="1"/>
  <c r="O9" i="27" s="1"/>
  <c r="O10" i="27" s="1"/>
  <c r="D2" i="27"/>
  <c r="Q3" i="28" s="1"/>
  <c r="R2" i="28" s="1"/>
  <c r="D16" i="27"/>
  <c r="Q8" i="28" s="1"/>
  <c r="R7" i="28" s="1"/>
  <c r="D9" i="10"/>
  <c r="F9" i="10" s="1"/>
  <c r="D4" i="11"/>
  <c r="F4" i="11" s="1"/>
  <c r="D9" i="12"/>
  <c r="F9" i="12" s="1"/>
  <c r="G5" i="13"/>
  <c r="C10" i="12"/>
  <c r="L2" i="12" s="1"/>
  <c r="E9" i="12"/>
  <c r="E8" i="12"/>
  <c r="E7" i="12"/>
  <c r="E6" i="12"/>
  <c r="E5" i="12"/>
  <c r="E4" i="12"/>
  <c r="E3" i="12"/>
  <c r="E2" i="12"/>
  <c r="L1" i="12"/>
  <c r="C10" i="11"/>
  <c r="E9" i="11"/>
  <c r="E8" i="11"/>
  <c r="E7" i="11"/>
  <c r="E6" i="11"/>
  <c r="E5" i="11"/>
  <c r="E4" i="11"/>
  <c r="E3" i="11"/>
  <c r="L2" i="11"/>
  <c r="E2" i="11"/>
  <c r="M1" i="11"/>
  <c r="L1" i="11"/>
  <c r="C10" i="10"/>
  <c r="L2" i="10" s="1"/>
  <c r="E9" i="10"/>
  <c r="E8" i="10"/>
  <c r="E7" i="10"/>
  <c r="E6" i="10"/>
  <c r="E5" i="10"/>
  <c r="E4" i="10"/>
  <c r="E3" i="10"/>
  <c r="L1" i="10"/>
  <c r="E2" i="10"/>
  <c r="M1" i="10" l="1"/>
  <c r="M1" i="12"/>
  <c r="E10" i="11"/>
  <c r="M2" i="11" s="1"/>
  <c r="O23" i="27"/>
  <c r="O24" i="27" s="1"/>
  <c r="O8" i="27"/>
  <c r="C15" i="28"/>
  <c r="D15" i="28" s="1"/>
  <c r="C17" i="28"/>
  <c r="D17" i="28" s="1"/>
  <c r="C18" i="28"/>
  <c r="D18" i="28" s="1"/>
  <c r="C16" i="28"/>
  <c r="D16" i="28" s="1"/>
  <c r="C20" i="28"/>
  <c r="D20" i="28" s="1"/>
  <c r="C19" i="28"/>
  <c r="D19" i="28" s="1"/>
  <c r="C14" i="28"/>
  <c r="D14" i="28" s="1"/>
  <c r="C21" i="28"/>
  <c r="D21" i="28" s="1"/>
  <c r="E10" i="10"/>
  <c r="M2" i="10" s="1"/>
  <c r="L5" i="10" s="1" a="1"/>
  <c r="L5" i="11" a="1"/>
  <c r="L5" i="11" s="1"/>
  <c r="E10" i="12"/>
  <c r="M2" i="12" s="1"/>
  <c r="L5" i="12" s="1" a="1"/>
  <c r="D6" i="12"/>
  <c r="F6" i="12" s="1"/>
  <c r="D8" i="12"/>
  <c r="F8" i="12" s="1"/>
  <c r="D7" i="12"/>
  <c r="F7" i="12" s="1"/>
  <c r="D2" i="12"/>
  <c r="D3" i="12"/>
  <c r="F3" i="12" s="1"/>
  <c r="D4" i="12"/>
  <c r="F4" i="12" s="1"/>
  <c r="D5" i="12"/>
  <c r="F5" i="12" s="1"/>
  <c r="D2" i="11"/>
  <c r="F2" i="11" s="1"/>
  <c r="D3" i="11"/>
  <c r="F3" i="11" s="1"/>
  <c r="D5" i="11"/>
  <c r="F5" i="11" s="1"/>
  <c r="D6" i="11"/>
  <c r="F6" i="11" s="1"/>
  <c r="D7" i="11"/>
  <c r="F7" i="11" s="1"/>
  <c r="D8" i="11"/>
  <c r="F8" i="11" s="1"/>
  <c r="D9" i="11"/>
  <c r="F9" i="11" s="1"/>
  <c r="D4" i="10"/>
  <c r="F4" i="10" s="1"/>
  <c r="D6" i="10"/>
  <c r="F6" i="10" s="1"/>
  <c r="D2" i="10"/>
  <c r="F2" i="10" s="1"/>
  <c r="D5" i="10"/>
  <c r="F5" i="10" s="1"/>
  <c r="D7" i="10"/>
  <c r="F7" i="10" s="1"/>
  <c r="D3" i="10"/>
  <c r="F3" i="10" s="1"/>
  <c r="D8" i="10"/>
  <c r="F8" i="10" s="1"/>
  <c r="F30" i="28" l="1"/>
  <c r="E30" i="28"/>
  <c r="G30" i="28"/>
  <c r="E26" i="28"/>
  <c r="F26" i="28"/>
  <c r="G26" i="28"/>
  <c r="F32" i="28"/>
  <c r="G32" i="28"/>
  <c r="E32" i="28"/>
  <c r="F27" i="28"/>
  <c r="E27" i="28"/>
  <c r="G27" i="28"/>
  <c r="F25" i="28"/>
  <c r="E25" i="28"/>
  <c r="G25" i="28"/>
  <c r="F29" i="28"/>
  <c r="G29" i="28"/>
  <c r="E29" i="28"/>
  <c r="F31" i="28"/>
  <c r="E31" i="28"/>
  <c r="G31" i="28"/>
  <c r="G28" i="28"/>
  <c r="E28" i="28"/>
  <c r="F28" i="28"/>
  <c r="M5" i="12"/>
  <c r="L5" i="12"/>
  <c r="M6" i="12"/>
  <c r="L6" i="12"/>
  <c r="L6" i="11"/>
  <c r="M6" i="11"/>
  <c r="M5" i="11"/>
  <c r="D10" i="12"/>
  <c r="P1" i="12" s="1"/>
  <c r="F2" i="12"/>
  <c r="F10" i="12" s="1"/>
  <c r="P2" i="12" s="1"/>
  <c r="F10" i="11"/>
  <c r="P2" i="11" s="1"/>
  <c r="D10" i="11"/>
  <c r="P1" i="11" s="1"/>
  <c r="F10" i="10"/>
  <c r="P2" i="10" s="1"/>
  <c r="D10" i="10"/>
  <c r="P1" i="10" s="1"/>
  <c r="M6" i="10"/>
  <c r="L6" i="10"/>
  <c r="M5" i="10"/>
  <c r="L5" i="10"/>
  <c r="J25" i="28" l="1"/>
  <c r="K25" i="28"/>
  <c r="I25" i="28"/>
  <c r="P8" i="12" a="1"/>
  <c r="P8" i="12" s="1"/>
  <c r="P8" i="11" a="1"/>
  <c r="P9" i="11" s="1"/>
  <c r="P8" i="10" a="1"/>
  <c r="B2" i="8" l="1"/>
  <c r="B4" i="8" s="1"/>
  <c r="H8" i="11"/>
  <c r="G3" i="8" s="1"/>
  <c r="C5" i="8" s="1"/>
  <c r="C3" i="8"/>
  <c r="P9" i="12"/>
  <c r="P8" i="11"/>
  <c r="P8" i="10"/>
  <c r="P9" i="10"/>
  <c r="H5" i="11" l="1"/>
  <c r="H11" i="11" s="1"/>
  <c r="P3" i="8" s="1"/>
  <c r="C2" i="8"/>
  <c r="C4" i="8" s="1"/>
  <c r="C7" i="8" s="1"/>
  <c r="H8" i="10"/>
  <c r="G4" i="8" s="1"/>
  <c r="D5" i="8" s="1"/>
  <c r="D3" i="8"/>
  <c r="H5" i="10"/>
  <c r="D2" i="8"/>
  <c r="D4" i="8" s="1"/>
  <c r="H8" i="12"/>
  <c r="B3" i="8"/>
  <c r="J4" i="11"/>
  <c r="B16" i="11" s="1"/>
  <c r="C16" i="11" s="1"/>
  <c r="J9" i="11"/>
  <c r="B21" i="11" s="1"/>
  <c r="C21" i="11" s="1"/>
  <c r="J5" i="11"/>
  <c r="B17" i="11" s="1"/>
  <c r="C17" i="11" s="1"/>
  <c r="J6" i="11"/>
  <c r="B18" i="11" s="1"/>
  <c r="C18" i="11" s="1"/>
  <c r="J2" i="11"/>
  <c r="B14" i="11" s="1"/>
  <c r="C14" i="11" s="1"/>
  <c r="J8" i="11"/>
  <c r="B20" i="11" s="1"/>
  <c r="C20" i="11" s="1"/>
  <c r="J7" i="11"/>
  <c r="B19" i="11" s="1"/>
  <c r="C19" i="11" s="1"/>
  <c r="J3" i="11"/>
  <c r="B15" i="11" s="1"/>
  <c r="C15" i="11" s="1"/>
  <c r="H11" i="10"/>
  <c r="P4" i="8" s="1"/>
  <c r="D7" i="8" l="1"/>
  <c r="G2" i="8"/>
  <c r="B5" i="8" s="1"/>
  <c r="H11" i="12"/>
  <c r="D14" i="11"/>
  <c r="J3" i="10"/>
  <c r="B15" i="10" s="1"/>
  <c r="C15" i="10" s="1"/>
  <c r="J7" i="10"/>
  <c r="B19" i="10" s="1"/>
  <c r="C19" i="10" s="1"/>
  <c r="J9" i="10"/>
  <c r="B21" i="10" s="1"/>
  <c r="C21" i="10" s="1"/>
  <c r="J4" i="10"/>
  <c r="B16" i="10" s="1"/>
  <c r="C16" i="10" s="1"/>
  <c r="J8" i="10"/>
  <c r="B20" i="10" s="1"/>
  <c r="C20" i="10" s="1"/>
  <c r="J5" i="10"/>
  <c r="B17" i="10" s="1"/>
  <c r="C17" i="10" s="1"/>
  <c r="J6" i="10"/>
  <c r="B18" i="10" s="1"/>
  <c r="C18" i="10" s="1"/>
  <c r="J2" i="10"/>
  <c r="B14" i="10" s="1"/>
  <c r="C14" i="10" s="1"/>
  <c r="J4" i="12" l="1"/>
  <c r="B16" i="12" s="1"/>
  <c r="C16" i="12" s="1"/>
  <c r="P2" i="8"/>
  <c r="J2" i="12"/>
  <c r="B14" i="12" s="1"/>
  <c r="J7" i="12"/>
  <c r="B19" i="12" s="1"/>
  <c r="C19" i="12" s="1"/>
  <c r="J5" i="12"/>
  <c r="B17" i="12" s="1"/>
  <c r="C17" i="12" s="1"/>
  <c r="J6" i="12"/>
  <c r="B18" i="12" s="1"/>
  <c r="C18" i="12" s="1"/>
  <c r="J9" i="12"/>
  <c r="B21" i="12" s="1"/>
  <c r="C21" i="12" s="1"/>
  <c r="J8" i="12"/>
  <c r="B20" i="12" s="1"/>
  <c r="C20" i="12" s="1"/>
  <c r="J3" i="12"/>
  <c r="B15" i="12" s="1"/>
  <c r="C15" i="12" s="1"/>
  <c r="B7" i="8"/>
  <c r="C6" i="8"/>
  <c r="G18" i="8" s="1"/>
  <c r="D6" i="8"/>
  <c r="G19" i="8" s="1"/>
  <c r="D14" i="10"/>
  <c r="C14" i="12" l="1"/>
  <c r="D14" i="12" s="1"/>
</calcChain>
</file>

<file path=xl/sharedStrings.xml><?xml version="1.0" encoding="utf-8"?>
<sst xmlns="http://schemas.openxmlformats.org/spreadsheetml/2006/main" count="198" uniqueCount="78">
  <si>
    <t>Hari</t>
  </si>
  <si>
    <t>6 Jam</t>
  </si>
  <si>
    <t>12 Jam</t>
  </si>
  <si>
    <t>24 Jam</t>
  </si>
  <si>
    <t>Populasi (sel/ml)</t>
  </si>
  <si>
    <t>r</t>
  </si>
  <si>
    <t>K</t>
  </si>
  <si>
    <t>t</t>
  </si>
  <si>
    <t>t^2</t>
  </si>
  <si>
    <t>t*Y</t>
  </si>
  <si>
    <t>[alpha]</t>
  </si>
  <si>
    <t>[beta]</t>
  </si>
  <si>
    <t>.=</t>
  </si>
  <si>
    <t>Matriks Invers</t>
  </si>
  <si>
    <t>a</t>
  </si>
  <si>
    <t>Error (%)</t>
  </si>
  <si>
    <t>MAPE</t>
  </si>
  <si>
    <t>6 jam</t>
  </si>
  <si>
    <t>12 jam</t>
  </si>
  <si>
    <t>24 jam</t>
  </si>
  <si>
    <t>t0</t>
  </si>
  <si>
    <t>Kenaikan r</t>
  </si>
  <si>
    <t>Kenaikan r (%)</t>
  </si>
  <si>
    <t>waktu (jam)</t>
  </si>
  <si>
    <t>t-t0</t>
  </si>
  <si>
    <t>Perbandingan nilai P_teta(t)</t>
  </si>
  <si>
    <t>rata-rata</t>
  </si>
  <si>
    <t>Pencahayaan</t>
  </si>
  <si>
    <t>A</t>
  </si>
  <si>
    <t>h (hour)</t>
  </si>
  <si>
    <t>6 - 12 jam</t>
  </si>
  <si>
    <t>13 - 24 Jam</t>
  </si>
  <si>
    <t>r_new</t>
  </si>
  <si>
    <t>t0_new</t>
  </si>
  <si>
    <t>t-t0_new</t>
  </si>
  <si>
    <t>p</t>
  </si>
  <si>
    <t>MAPE (%)</t>
  </si>
  <si>
    <t>X</t>
  </si>
  <si>
    <t>Y=ln(1-(r/a))</t>
  </si>
  <si>
    <t>X*Y</t>
  </si>
  <si>
    <t>X^2</t>
  </si>
  <si>
    <t>m</t>
  </si>
  <si>
    <t>b</t>
  </si>
  <si>
    <t>c</t>
  </si>
  <si>
    <t>d</t>
  </si>
  <si>
    <t>%</t>
  </si>
  <si>
    <t>r max</t>
  </si>
  <si>
    <t>r max +</t>
  </si>
  <si>
    <t>t0 max +</t>
  </si>
  <si>
    <t>t0 max</t>
  </si>
  <si>
    <t>q</t>
  </si>
  <si>
    <t>Days</t>
  </si>
  <si>
    <t>6 Hour</t>
  </si>
  <si>
    <t>12 Hour</t>
  </si>
  <si>
    <t>24 Hour</t>
  </si>
  <si>
    <t>Populations</t>
  </si>
  <si>
    <t>Y</t>
  </si>
  <si>
    <t>P(t)</t>
  </si>
  <si>
    <t>Alpha</t>
  </si>
  <si>
    <t>Beta</t>
  </si>
  <si>
    <t>Lighting Duration (hour)</t>
  </si>
  <si>
    <t>time (hours)</t>
  </si>
  <si>
    <t>a value</t>
  </si>
  <si>
    <t>p value</t>
  </si>
  <si>
    <t>Porphyridium sp. Density (cells/mL)</t>
  </si>
  <si>
    <t>6 hour</t>
  </si>
  <si>
    <t>12 hour</t>
  </si>
  <si>
    <t>24 hour</t>
  </si>
  <si>
    <t>Predicted “n” Lighting Hours</t>
  </si>
  <si>
    <t>Logistic Curve</t>
  </si>
  <si>
    <t>Logistic Curve Error Value (%)</t>
  </si>
  <si>
    <t>Logistic Curve MAPE (%) against time</t>
  </si>
  <si>
    <t>K_h</t>
  </si>
  <si>
    <t>K_h (initial)</t>
  </si>
  <si>
    <t>Function for new r values</t>
  </si>
  <si>
    <t>Function for new t0 values</t>
  </si>
  <si>
    <t>Population Increase (p)</t>
  </si>
  <si>
    <t>K_h (By Interpolation)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</si>
</sst>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1F1F1F"/>
      <name val="Calibri"/>
      <family val="2"/>
      <scheme val="minor"/>
    </font>
    <font>
      <b/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7">
    <xf numFmtId="0" fontId="0" fillId="0" borderId="0" xfId="0"/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3" borderId="1" xfId="0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65" fontId="0" fillId="4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165" fontId="0" fillId="4" borderId="1" xfId="0" applyNumberFormat="1" applyFill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0" xfId="0" applyAlignment="1">
      <alignment horizontal="right"/>
    </xf>
    <xf numFmtId="0" fontId="0" fillId="3" borderId="1" xfId="0" applyFill="1" applyBorder="1" applyAlignment="1">
      <alignment horizontal="right"/>
    </xf>
    <xf numFmtId="0" fontId="0" fillId="3" borderId="1" xfId="0" applyFill="1" applyBorder="1" applyAlignment="1">
      <alignment horizontal="left"/>
    </xf>
    <xf numFmtId="0" fontId="0" fillId="3" borderId="3" xfId="0" applyFill="1" applyBorder="1" applyAlignment="1">
      <alignment horizontal="center" vertical="center"/>
    </xf>
    <xf numFmtId="165" fontId="0" fillId="0" borderId="3" xfId="0" applyNumberFormat="1" applyBorder="1" applyAlignment="1">
      <alignment horizontal="center"/>
    </xf>
    <xf numFmtId="165" fontId="0" fillId="0" borderId="0" xfId="0" applyNumberFormat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vertical="center"/>
    </xf>
    <xf numFmtId="0" fontId="0" fillId="7" borderId="1" xfId="0" applyFill="1" applyBorder="1" applyAlignment="1">
      <alignment horizontal="center"/>
    </xf>
    <xf numFmtId="164" fontId="0" fillId="5" borderId="1" xfId="0" applyNumberFormat="1" applyFill="1" applyBorder="1" applyAlignment="1">
      <alignment horizontal="center"/>
    </xf>
    <xf numFmtId="9" fontId="0" fillId="0" borderId="1" xfId="1" applyFon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1" xfId="0" applyNumberFormat="1" applyBorder="1"/>
    <xf numFmtId="0" fontId="0" fillId="0" borderId="1" xfId="0" applyBorder="1" applyAlignment="1">
      <alignment horizontal="right"/>
    </xf>
    <xf numFmtId="9" fontId="0" fillId="0" borderId="1" xfId="0" applyNumberFormat="1" applyBorder="1" applyAlignment="1">
      <alignment horizontal="left"/>
    </xf>
    <xf numFmtId="0" fontId="0" fillId="4" borderId="2" xfId="0" applyFill="1" applyBorder="1" applyAlignment="1">
      <alignment vertical="center"/>
    </xf>
    <xf numFmtId="0" fontId="0" fillId="4" borderId="3" xfId="0" applyFill="1" applyBorder="1" applyAlignment="1">
      <alignment vertical="center"/>
    </xf>
    <xf numFmtId="0" fontId="0" fillId="4" borderId="1" xfId="0" applyFill="1" applyBorder="1" applyAlignment="1">
      <alignment vertical="center"/>
    </xf>
    <xf numFmtId="0" fontId="0" fillId="2" borderId="1" xfId="0" applyFill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0" fillId="3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E6F5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Logistic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'Logistics Model 6 hours'!$B$1</c:f>
              <c:strCache>
                <c:ptCount val="1"/>
                <c:pt idx="0">
                  <c:v>Populations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'Logistics Model 6 hours'!$A$2:$A$9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('Logistics Model 6 hours'!$B$2:$B$9,'Logistics Model 6 hours'!$B$13:$B$21)</c:f>
              <c:numCache>
                <c:formatCode>General</c:formatCode>
                <c:ptCount val="17"/>
                <c:pt idx="0">
                  <c:v>700000</c:v>
                </c:pt>
                <c:pt idx="1">
                  <c:v>1050000</c:v>
                </c:pt>
                <c:pt idx="2">
                  <c:v>1166666.6666666667</c:v>
                </c:pt>
                <c:pt idx="3">
                  <c:v>1255555.5555555557</c:v>
                </c:pt>
                <c:pt idx="4">
                  <c:v>1483333.3333333333</c:v>
                </c:pt>
                <c:pt idx="5">
                  <c:v>1544444.4444444443</c:v>
                </c:pt>
                <c:pt idx="6">
                  <c:v>1577777.7777777778</c:v>
                </c:pt>
                <c:pt idx="7">
                  <c:v>2300000</c:v>
                </c:pt>
                <c:pt idx="8">
                  <c:v>0</c:v>
                </c:pt>
                <c:pt idx="9" formatCode="0.000">
                  <c:v>704026.2809116334</c:v>
                </c:pt>
                <c:pt idx="10" formatCode="0.000">
                  <c:v>893792.3660598835</c:v>
                </c:pt>
                <c:pt idx="11" formatCode="0.000">
                  <c:v>1103788.7477604977</c:v>
                </c:pt>
                <c:pt idx="12" formatCode="0.000">
                  <c:v>1323222.9487065177</c:v>
                </c:pt>
                <c:pt idx="13" formatCode="0.000">
                  <c:v>1539201.1134030791</c:v>
                </c:pt>
                <c:pt idx="14" formatCode="0.000">
                  <c:v>1739614.1018973789</c:v>
                </c:pt>
                <c:pt idx="15" formatCode="0.000">
                  <c:v>1915668.543280768</c:v>
                </c:pt>
                <c:pt idx="16" formatCode="0.000">
                  <c:v>2063034.3214324333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2F-4ACE-9C27-3932609967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5744095"/>
        <c:axId val="1525716735"/>
      </c:scatterChart>
      <c:scatterChart>
        <c:scatterStyle val="smoothMarker"/>
        <c:varyColors val="0"/>
        <c:ser>
          <c:idx val="1"/>
          <c:order val="1"/>
          <c:tx>
            <c:strRef>
              <c:f>'Logistics Model 6 hours'!$B$13</c:f>
              <c:strCache>
                <c:ptCount val="1"/>
                <c:pt idx="0">
                  <c:v>P(t)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'Logistics Model 6 hours'!$A$2:$A$9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'Logistics Model 6 hours'!$B$14:$B$21</c:f>
              <c:numCache>
                <c:formatCode>0.000</c:formatCode>
                <c:ptCount val="8"/>
                <c:pt idx="0">
                  <c:v>704026.2809116334</c:v>
                </c:pt>
                <c:pt idx="1">
                  <c:v>893792.3660598835</c:v>
                </c:pt>
                <c:pt idx="2">
                  <c:v>1103788.7477604977</c:v>
                </c:pt>
                <c:pt idx="3">
                  <c:v>1323222.9487065177</c:v>
                </c:pt>
                <c:pt idx="4">
                  <c:v>1539201.1134030791</c:v>
                </c:pt>
                <c:pt idx="5">
                  <c:v>1739614.1018973789</c:v>
                </c:pt>
                <c:pt idx="6">
                  <c:v>1915668.543280768</c:v>
                </c:pt>
                <c:pt idx="7">
                  <c:v>2063034.3214324333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A2F-4ACE-9C27-3932609967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5744095"/>
        <c:axId val="1525716735"/>
      </c:scatterChart>
      <c:valAx>
        <c:axId val="15257440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Days(t)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5716735"/>
        <c:crosses val="autoZero"/>
        <c:crossBetween val="midCat"/>
      </c:valAx>
      <c:valAx>
        <c:axId val="1525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Density</a:t>
                </a:r>
                <a:r>
                  <a:rPr lang="en-US" baseline="0"/>
                  <a:t> (cells/mL)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57440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Logistic</a:t>
            </a:r>
            <a:r>
              <a:rPr lang="en-US" baseline="0"/>
              <a:t> Curve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'Logistics Model 12 hours'!$B$1</c:f>
              <c:strCache>
                <c:ptCount val="1"/>
                <c:pt idx="0">
                  <c:v>Populations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'Logistics Model 12 hours'!$A$2:$A$9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'Logistics Model 12 hours'!$B$2:$B$9</c:f>
              <c:numCache>
                <c:formatCode>General</c:formatCode>
                <c:ptCount val="8"/>
                <c:pt idx="0">
                  <c:v>700000</c:v>
                </c:pt>
                <c:pt idx="1">
                  <c:v>1083333.3333333333</c:v>
                </c:pt>
                <c:pt idx="2">
                  <c:v>1727777.777777778</c:v>
                </c:pt>
                <c:pt idx="3">
                  <c:v>1916666.6666666667</c:v>
                </c:pt>
                <c:pt idx="4">
                  <c:v>2494444.444444444</c:v>
                </c:pt>
                <c:pt idx="5">
                  <c:v>2833333.3333333335</c:v>
                </c:pt>
                <c:pt idx="6">
                  <c:v>3133333.3333333335</c:v>
                </c:pt>
                <c:pt idx="7">
                  <c:v>4272222.2222222229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88-4B05-8956-E1C12AFECC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646512"/>
        <c:axId val="1730648912"/>
      </c:scatterChart>
      <c:scatterChart>
        <c:scatterStyle val="smoothMarker"/>
        <c:varyColors val="0"/>
        <c:ser>
          <c:idx val="1"/>
          <c:order val="1"/>
          <c:tx>
            <c:strRef>
              <c:f>'Logistics Model 12 hours'!$B$13</c:f>
              <c:strCache>
                <c:ptCount val="1"/>
                <c:pt idx="0">
                  <c:v>P(t)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'Logistics Model 12 hours'!$A$2:$A$9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'Logistics Model 12 hours'!$B$14:$B$21</c:f>
              <c:numCache>
                <c:formatCode>0.000</c:formatCode>
                <c:ptCount val="8"/>
                <c:pt idx="0">
                  <c:v>691625.39706174051</c:v>
                </c:pt>
                <c:pt idx="1">
                  <c:v>1033105.6878705302</c:v>
                </c:pt>
                <c:pt idx="2">
                  <c:v>1480888.9669177695</c:v>
                </c:pt>
                <c:pt idx="3">
                  <c:v>2016034.2308783105</c:v>
                </c:pt>
                <c:pt idx="4">
                  <c:v>2589005.4680354311</c:v>
                </c:pt>
                <c:pt idx="5">
                  <c:v>3134596.5080502857</c:v>
                </c:pt>
                <c:pt idx="6">
                  <c:v>3599087.5439637359</c:v>
                </c:pt>
                <c:pt idx="7">
                  <c:v>3958303.342930594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988-4B05-8956-E1C12AFECC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646512"/>
        <c:axId val="1730648912"/>
      </c:scatterChart>
      <c:valAx>
        <c:axId val="1730646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Days(t)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0648912"/>
        <c:crosses val="autoZero"/>
        <c:crossBetween val="midCat"/>
      </c:valAx>
      <c:valAx>
        <c:axId val="1730648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Density</a:t>
                </a:r>
                <a:r>
                  <a:rPr lang="en-US" baseline="0"/>
                  <a:t> (cells/mL)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0646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Logistic</a:t>
            </a:r>
            <a:r>
              <a:rPr lang="en-US" baseline="0"/>
              <a:t> Curve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'Logistics Model 24 hours'!$B$1</c:f>
              <c:strCache>
                <c:ptCount val="1"/>
                <c:pt idx="0">
                  <c:v>Populations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'Logistics Model 24 hours'!$A$2:$A$9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('Logistics Model 24 hours'!$B$2:$B$9,'Logistics Model 24 hours'!$B$13:$B$21)</c:f>
              <c:numCache>
                <c:formatCode>0.000</c:formatCode>
                <c:ptCount val="17"/>
                <c:pt idx="0">
                  <c:v>700000</c:v>
                </c:pt>
                <c:pt idx="1">
                  <c:v>1161111.111111111</c:v>
                </c:pt>
                <c:pt idx="2">
                  <c:v>2366666.6666666665</c:v>
                </c:pt>
                <c:pt idx="3">
                  <c:v>3394444.444444444</c:v>
                </c:pt>
                <c:pt idx="4">
                  <c:v>4027777.7777777775</c:v>
                </c:pt>
                <c:pt idx="5">
                  <c:v>5119444.444444444</c:v>
                </c:pt>
                <c:pt idx="6">
                  <c:v>5350000</c:v>
                </c:pt>
                <c:pt idx="7">
                  <c:v>7219444.444444445</c:v>
                </c:pt>
                <c:pt idx="8" formatCode="General">
                  <c:v>0</c:v>
                </c:pt>
                <c:pt idx="9">
                  <c:v>746023.04612418893</c:v>
                </c:pt>
                <c:pt idx="10">
                  <c:v>1251803.6021403254</c:v>
                </c:pt>
                <c:pt idx="11">
                  <c:v>2004939.9749095349</c:v>
                </c:pt>
                <c:pt idx="12">
                  <c:v>3007482.8217448895</c:v>
                </c:pt>
                <c:pt idx="13">
                  <c:v>4160036.1677294173</c:v>
                </c:pt>
                <c:pt idx="14">
                  <c:v>5281474.6072983602</c:v>
                </c:pt>
                <c:pt idx="15">
                  <c:v>6208840.6956126969</c:v>
                </c:pt>
                <c:pt idx="16">
                  <c:v>6877984.6842691367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8F-4A88-9BBE-CD6333B45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543839"/>
        <c:axId val="1817544319"/>
      </c:scatterChart>
      <c:scatterChart>
        <c:scatterStyle val="smoothMarker"/>
        <c:varyColors val="0"/>
        <c:ser>
          <c:idx val="1"/>
          <c:order val="1"/>
          <c:tx>
            <c:strRef>
              <c:f>'Logistics Model 24 hours'!$B$13</c:f>
              <c:strCache>
                <c:ptCount val="1"/>
                <c:pt idx="0">
                  <c:v>P(t)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'Logistics Model 24 hours'!$A$2:$A$9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'Logistics Model 24 hours'!$B$14:$B$21</c:f>
              <c:numCache>
                <c:formatCode>0.000</c:formatCode>
                <c:ptCount val="8"/>
                <c:pt idx="0">
                  <c:v>746023.04612418893</c:v>
                </c:pt>
                <c:pt idx="1">
                  <c:v>1251803.6021403254</c:v>
                </c:pt>
                <c:pt idx="2">
                  <c:v>2004939.9749095349</c:v>
                </c:pt>
                <c:pt idx="3">
                  <c:v>3007482.8217448895</c:v>
                </c:pt>
                <c:pt idx="4">
                  <c:v>4160036.1677294173</c:v>
                </c:pt>
                <c:pt idx="5">
                  <c:v>5281474.6072983602</c:v>
                </c:pt>
                <c:pt idx="6">
                  <c:v>6208840.6956126969</c:v>
                </c:pt>
                <c:pt idx="7">
                  <c:v>6877984.6842691367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F-4A88-9BBE-CD6333B45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543839"/>
        <c:axId val="1817544319"/>
      </c:scatterChart>
      <c:valAx>
        <c:axId val="18175438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Days(t)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544319"/>
        <c:crosses val="autoZero"/>
        <c:crossBetween val="midCat"/>
      </c:valAx>
      <c:valAx>
        <c:axId val="1817544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Density</a:t>
                </a:r>
                <a:r>
                  <a:rPr lang="en-US" baseline="0"/>
                  <a:t> (cells/mL)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5438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</a:t>
            </a:r>
            <a:r>
              <a:rPr lang="en-US" baseline="0"/>
              <a:t> chart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'Variable analysis'!$F$2:$F$4</c:f>
              <c:numCache>
                <c:formatCode>General</c:formatCode>
                <c:ptCount val="3"/>
                <c:pt idx="0">
                  <c:v>6</c:v>
                </c:pt>
                <c:pt idx="1">
                  <c:v>12</c:v>
                </c:pt>
                <c:pt idx="2">
                  <c:v>24</c:v>
                </c:pt>
              </c:numCache>
            </c:numRef>
          </c:xVal>
          <c:yVal>
            <c:numRef>
              <c:f>'Variable analysis'!$G$2:$G$4</c:f>
              <c:numCache>
                <c:formatCode>General</c:formatCode>
                <c:ptCount val="3"/>
                <c:pt idx="0">
                  <c:v>0.34839005288485492</c:v>
                </c:pt>
                <c:pt idx="1">
                  <c:v>0.49033396495532672</c:v>
                </c:pt>
                <c:pt idx="2">
                  <c:v>0.59046948305658609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3E-437E-A178-A2F96D5C92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180639"/>
        <c:axId val="498181599"/>
      </c:scatterChart>
      <c:valAx>
        <c:axId val="4981806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Lighting Duration (hour)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181599"/>
        <c:crosses val="autoZero"/>
        <c:crossBetween val="midCat"/>
        <c:majorUnit val="2"/>
      </c:valAx>
      <c:valAx>
        <c:axId val="4981815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  <a:r>
                  <a:rPr lang="en-US" baseline="0"/>
                  <a:t> 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1806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Periodic Increase in r Value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'Variable analysis'!$F$17:$F$19</c:f>
              <c:numCache>
                <c:formatCode>General</c:formatCode>
                <c:ptCount val="3"/>
                <c:pt idx="0">
                  <c:v>6</c:v>
                </c:pt>
                <c:pt idx="1">
                  <c:v>12</c:v>
                </c:pt>
                <c:pt idx="2">
                  <c:v>24</c:v>
                </c:pt>
              </c:numCache>
            </c:numRef>
          </c:xVal>
          <c:yVal>
            <c:numRef>
              <c:f>'Variable analysis'!$G$17:$G$19</c:f>
              <c:numCache>
                <c:formatCode>0.00000000</c:formatCode>
                <c:ptCount val="3"/>
                <c:pt idx="0" formatCode="General">
                  <c:v>0</c:v>
                </c:pt>
                <c:pt idx="1">
                  <c:v>40.742814237978585</c:v>
                </c:pt>
                <c:pt idx="2">
                  <c:v>28.742358535234867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AD-4CC1-9FFF-BB30150D0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158079"/>
        <c:axId val="498170559"/>
      </c:scatterChart>
      <c:valAx>
        <c:axId val="4981580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Lighting Duration (hour)</a:t>
                </a:r>
              </a:p>
            </c:rich>
          </c:tx>
          <c:layout>
            <c:manualLayout>
              <c:xMode val="edge"/>
              <c:yMode val="edge"/>
              <c:x val="0.32263390811507753"/>
              <c:y val="0.881347991136504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170559"/>
        <c:crosses val="autoZero"/>
        <c:crossBetween val="midCat"/>
        <c:majorUnit val="2"/>
      </c:valAx>
      <c:valAx>
        <c:axId val="498170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Percentage</a:t>
                </a:r>
                <a:r>
                  <a:rPr lang="en-US" baseline="0"/>
                  <a:t> (%)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1580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t0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'Variable analysis'!$P$1</c:f>
              <c:strCache>
                <c:ptCount val="1"/>
                <c:pt idx="0">
                  <c:v>t0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'Variable analysis'!$O$2:$O$4</c:f>
              <c:numCache>
                <c:formatCode>General</c:formatCode>
                <c:ptCount val="3"/>
                <c:pt idx="0">
                  <c:v>6</c:v>
                </c:pt>
                <c:pt idx="1">
                  <c:v>12</c:v>
                </c:pt>
                <c:pt idx="2">
                  <c:v>24</c:v>
                </c:pt>
              </c:numCache>
            </c:numRef>
          </c:xVal>
          <c:yVal>
            <c:numRef>
              <c:f>'Variable analysis'!$P$2:$P$4</c:f>
              <c:numCache>
                <c:formatCode>0.00000000</c:formatCode>
                <c:ptCount val="3"/>
                <c:pt idx="0">
                  <c:v>2.7355918294587909</c:v>
                </c:pt>
                <c:pt idx="1">
                  <c:v>3.5831864487076905</c:v>
                </c:pt>
                <c:pt idx="2">
                  <c:v>3.8383625864074382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77-4D5D-8081-409385247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5726335"/>
        <c:axId val="1525726815"/>
      </c:scatterChart>
      <c:valAx>
        <c:axId val="15257263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Lighting Duration (hour)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5726815"/>
        <c:crosses val="autoZero"/>
        <c:crossBetween val="midCat"/>
        <c:majorUnit val="2"/>
      </c:valAx>
      <c:valAx>
        <c:axId val="1525726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5726335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</a:t>
            </a:r>
            <a:r>
              <a:rPr lang="en-US" baseline="0"/>
              <a:t> chart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'Variable analysis'!$O$17:$O$19</c:f>
              <c:numCache>
                <c:formatCode>General</c:formatCode>
                <c:ptCount val="3"/>
                <c:pt idx="0">
                  <c:v>6</c:v>
                </c:pt>
                <c:pt idx="1">
                  <c:v>12</c:v>
                </c:pt>
                <c:pt idx="2">
                  <c:v>24</c:v>
                </c:pt>
              </c:numCache>
            </c:numRef>
          </c:xVal>
          <c:yVal>
            <c:numRef>
              <c:f>'Variable analysis'!$P$17:$P$19</c:f>
              <c:numCache>
                <c:formatCode>General</c:formatCode>
                <c:ptCount val="3"/>
                <c:pt idx="0">
                  <c:v>2530000</c:v>
                </c:pt>
                <c:pt idx="1">
                  <c:v>4699444.444444445</c:v>
                </c:pt>
                <c:pt idx="2">
                  <c:v>7941388.8888888899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68-40FB-A013-B846FF6B4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0941055"/>
        <c:axId val="1090973215"/>
      </c:scatterChart>
      <c:valAx>
        <c:axId val="10909410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Lighting Duration (hour)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51595790994914881"/>
              <c:y val="0.871839542571250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0973215"/>
        <c:crosses val="autoZero"/>
        <c:crossBetween val="midCat"/>
        <c:majorUnit val="2"/>
      </c:valAx>
      <c:valAx>
        <c:axId val="109097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09410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Actual</a:t>
            </a:r>
            <a:r>
              <a:rPr lang="en-US" baseline="0"/>
              <a:t> vs Logistic Model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'Modified Logistic Model'!$B$2</c:f>
              <c:strCache>
                <c:ptCount val="1"/>
                <c:pt idx="0">
                  <c:v>6 hour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'Modified Logistic Model'!$A$3:$A$10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'Modified Logistic Model'!$B$3:$B$10</c:f>
              <c:numCache>
                <c:formatCode>0.000</c:formatCode>
                <c:ptCount val="8"/>
                <c:pt idx="0">
                  <c:v>700000</c:v>
                </c:pt>
                <c:pt idx="1">
                  <c:v>1050000</c:v>
                </c:pt>
                <c:pt idx="2">
                  <c:v>1166666.6666666667</c:v>
                </c:pt>
                <c:pt idx="3">
                  <c:v>1255555.5555555557</c:v>
                </c:pt>
                <c:pt idx="4">
                  <c:v>1483333.3333333333</c:v>
                </c:pt>
                <c:pt idx="5">
                  <c:v>1544444.4444444443</c:v>
                </c:pt>
                <c:pt idx="6">
                  <c:v>1577777.7777777778</c:v>
                </c:pt>
                <c:pt idx="7">
                  <c:v>2300000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C8-47B7-A1B6-65D3E555FD4B}"/>
            </c:ext>
          </c:extLst>
        </c:ser>
        <c:ser>
          <c:idx val="1"/>
          <c:order val="1"/>
          <c:tx>
            <c:strRef>
              <c:f>'Modified Logistic Model'!$C$2</c:f>
              <c:strCache>
                <c:ptCount val="1"/>
                <c:pt idx="0">
                  <c:v>12 hour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'Modified Logistic Model'!$A$3:$A$10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'Modified Logistic Model'!$C$3:$C$10</c:f>
              <c:numCache>
                <c:formatCode>0.000</c:formatCode>
                <c:ptCount val="8"/>
                <c:pt idx="0">
                  <c:v>700000</c:v>
                </c:pt>
                <c:pt idx="1">
                  <c:v>1083333.3333333333</c:v>
                </c:pt>
                <c:pt idx="2">
                  <c:v>1727777.777777778</c:v>
                </c:pt>
                <c:pt idx="3">
                  <c:v>1916666.6666666667</c:v>
                </c:pt>
                <c:pt idx="4">
                  <c:v>2494444.444444444</c:v>
                </c:pt>
                <c:pt idx="5">
                  <c:v>2833333.3333333335</c:v>
                </c:pt>
                <c:pt idx="6">
                  <c:v>3133333.3333333335</c:v>
                </c:pt>
                <c:pt idx="7">
                  <c:v>4272222.2222222229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C8-47B7-A1B6-65D3E555FD4B}"/>
            </c:ext>
          </c:extLst>
        </c:ser>
        <c:ser>
          <c:idx val="2"/>
          <c:order val="2"/>
          <c:tx>
            <c:strRef>
              <c:f>'Modified Logistic Model'!$D$2</c:f>
              <c:strCache>
                <c:ptCount val="1"/>
                <c:pt idx="0">
                  <c:v>24 hour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'Modified Logistic Model'!$A$3:$A$10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('Modified Logistic Model'!$D$3:$D$10,'Modified Logistic Model'!$D$13:$D$21)</c:f>
              <c:numCache>
                <c:formatCode>0.000</c:formatCode>
                <c:ptCount val="17"/>
                <c:pt idx="0">
                  <c:v>700000</c:v>
                </c:pt>
                <c:pt idx="1">
                  <c:v>1161111.111111111</c:v>
                </c:pt>
                <c:pt idx="2">
                  <c:v>2366666.6666666665</c:v>
                </c:pt>
                <c:pt idx="3">
                  <c:v>3394444.444444444</c:v>
                </c:pt>
                <c:pt idx="4">
                  <c:v>4027777.7777777775</c:v>
                </c:pt>
                <c:pt idx="5">
                  <c:v>5119444.444444444</c:v>
                </c:pt>
                <c:pt idx="6">
                  <c:v>5350000</c:v>
                </c:pt>
                <c:pt idx="7">
                  <c:v>7219444.4444444403</c:v>
                </c:pt>
                <c:pt idx="8" formatCode="General">
                  <c:v>0</c:v>
                </c:pt>
                <c:pt idx="9">
                  <c:v>771401.14757240226</c:v>
                </c:pt>
                <c:pt idx="10">
                  <c:v>990096.26107563276</c:v>
                </c:pt>
                <c:pt idx="11">
                  <c:v>1234685.9486736525</c:v>
                </c:pt>
                <c:pt idx="12">
                  <c:v>1492278.6011778477</c:v>
                </c:pt>
                <c:pt idx="13">
                  <c:v>1746950.0719207958</c:v>
                </c:pt>
                <c:pt idx="14">
                  <c:v>1983476.8765825233</c:v>
                </c:pt>
                <c:pt idx="15">
                  <c:v>2190735.5244079717</c:v>
                </c:pt>
                <c:pt idx="16">
                  <c:v>2363289.6338235727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FC8-47B7-A1B6-65D3E555FD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3123439"/>
        <c:axId val="673109999"/>
      </c:scatterChart>
      <c:scatterChart>
        <c:scatterStyle val="smoothMarker"/>
        <c:varyColors val="0"/>
        <c:ser>
          <c:idx val="3"/>
          <c:order val="3"/>
          <c:tx>
            <c:strRef>
              <c:f>'Modified Logistic Model'!$D$13</c:f>
              <c:strCache>
                <c:ptCount val="1"/>
                <c:pt idx="0">
                  <c:v>Logistic Curve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'Modified Logistic Model'!$A$3:$A$10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'Modified Logistic Model'!$D$14:$D$21</c:f>
              <c:numCache>
                <c:formatCode>0.000</c:formatCode>
                <c:ptCount val="8"/>
                <c:pt idx="0">
                  <c:v>771401.14757240226</c:v>
                </c:pt>
                <c:pt idx="1">
                  <c:v>990096.26107563276</c:v>
                </c:pt>
                <c:pt idx="2">
                  <c:v>1234685.9486736525</c:v>
                </c:pt>
                <c:pt idx="3">
                  <c:v>1492278.6011778477</c:v>
                </c:pt>
                <c:pt idx="4">
                  <c:v>1746950.0719207958</c:v>
                </c:pt>
                <c:pt idx="5">
                  <c:v>1983476.8765825233</c:v>
                </c:pt>
                <c:pt idx="6">
                  <c:v>2190735.5244079717</c:v>
                </c:pt>
                <c:pt idx="7">
                  <c:v>2363289.6338235727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FC8-47B7-A1B6-65D3E555FD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3123439"/>
        <c:axId val="673109999"/>
      </c:scatterChart>
      <c:valAx>
        <c:axId val="6731234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Hasil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109999"/>
        <c:crosses val="autoZero"/>
        <c:crossBetween val="midCat"/>
      </c:valAx>
      <c:valAx>
        <c:axId val="673109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Kepadatan</a:t>
                </a:r>
                <a:r>
                  <a:rPr lang="en-US" baseline="0"/>
                  <a:t> (sel/mL)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1234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Perbandingan</a:t>
            </a:r>
            <a:r>
              <a:rPr lang="en-US" baseline="0"/>
              <a:t> 3 Durasi Pencahayaan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'Overall Logistic Model'!$B$14</c:f>
              <c:strCache>
                <c:ptCount val="1"/>
                <c:pt idx="0">
                  <c:v>6 Jam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'Overall Logistic Model'!$A$16:$A$23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'Overall Logistic Model'!$B$16:$B$23</c:f>
              <c:numCache>
                <c:formatCode>General</c:formatCode>
                <c:ptCount val="8"/>
                <c:pt idx="0">
                  <c:v>700000</c:v>
                </c:pt>
                <c:pt idx="1">
                  <c:v>1050000</c:v>
                </c:pt>
                <c:pt idx="2">
                  <c:v>1166666.6666666667</c:v>
                </c:pt>
                <c:pt idx="3">
                  <c:v>1255555.5555555557</c:v>
                </c:pt>
                <c:pt idx="4">
                  <c:v>1483333.3333333333</c:v>
                </c:pt>
                <c:pt idx="5">
                  <c:v>1544444.4444444443</c:v>
                </c:pt>
                <c:pt idx="6">
                  <c:v>1577777.7777777778</c:v>
                </c:pt>
                <c:pt idx="7">
                  <c:v>2300000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77-4906-B621-64E19D1A93AA}"/>
            </c:ext>
          </c:extLst>
        </c:ser>
        <c:ser>
          <c:idx val="1"/>
          <c:order val="1"/>
          <c:tx>
            <c:strRef>
              <c:f>'Overall Logistic Model'!$C$14</c:f>
              <c:strCache>
                <c:ptCount val="1"/>
                <c:pt idx="0">
                  <c:v>12 Jam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'Overall Logistic Model'!$A$16:$A$23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'Overall Logistic Model'!$C$16:$C$23</c:f>
              <c:numCache>
                <c:formatCode>General</c:formatCode>
                <c:ptCount val="8"/>
                <c:pt idx="0">
                  <c:v>700000</c:v>
                </c:pt>
                <c:pt idx="1">
                  <c:v>1083333.3333333333</c:v>
                </c:pt>
                <c:pt idx="2">
                  <c:v>1727777.777777778</c:v>
                </c:pt>
                <c:pt idx="3">
                  <c:v>1916666.6666666667</c:v>
                </c:pt>
                <c:pt idx="4">
                  <c:v>2494444.444444444</c:v>
                </c:pt>
                <c:pt idx="5">
                  <c:v>2833333.3333333335</c:v>
                </c:pt>
                <c:pt idx="6">
                  <c:v>3133333.3333333335</c:v>
                </c:pt>
                <c:pt idx="7">
                  <c:v>4272222.2222222229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277-4906-B621-64E19D1A93AA}"/>
            </c:ext>
          </c:extLst>
        </c:ser>
        <c:ser>
          <c:idx val="2"/>
          <c:order val="2"/>
          <c:tx>
            <c:strRef>
              <c:f>'Overall Logistic Model'!$D$14</c:f>
              <c:strCache>
                <c:ptCount val="1"/>
                <c:pt idx="0">
                  <c:v>24 Jam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'Overall Logistic Model'!$A$16:$A$23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'Overall Logistic Model'!$D$16:$D$23</c:f>
              <c:numCache>
                <c:formatCode>General</c:formatCode>
                <c:ptCount val="8"/>
                <c:pt idx="0">
                  <c:v>700000</c:v>
                </c:pt>
                <c:pt idx="1">
                  <c:v>1161111.111111111</c:v>
                </c:pt>
                <c:pt idx="2">
                  <c:v>2366666.6666666665</c:v>
                </c:pt>
                <c:pt idx="3">
                  <c:v>3394444.444444444</c:v>
                </c:pt>
                <c:pt idx="4">
                  <c:v>4027777.7777777775</c:v>
                </c:pt>
                <c:pt idx="5">
                  <c:v>5119444.444444444</c:v>
                </c:pt>
                <c:pt idx="6">
                  <c:v>5350000</c:v>
                </c:pt>
                <c:pt idx="7">
                  <c:v>7219444.444444445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277-4906-B621-64E19D1A9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5274959"/>
        <c:axId val="1825280239"/>
      </c:scatterChart>
      <c:scatterChart>
        <c:scatterStyle val="smoothMarker"/>
        <c:varyColors val="0"/>
        <c:ser>
          <c:idx val="3"/>
          <c:order val="3"/>
          <c:tx>
            <c:strRef>
              <c:f>'Overall Logistic Model'!$B$2</c:f>
              <c:strCache>
                <c:ptCount val="1"/>
                <c:pt idx="0">
                  <c:v>6 Jam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'Overall Logistic Model'!$A$16:$A$23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'Overall Logistic Model'!$B$3:$B$10</c:f>
              <c:numCache>
                <c:formatCode>General</c:formatCode>
                <c:ptCount val="8"/>
                <c:pt idx="0">
                  <c:v>761325.60651260498</c:v>
                </c:pt>
                <c:pt idx="1">
                  <c:v>920236.78081959009</c:v>
                </c:pt>
                <c:pt idx="2">
                  <c:v>1096077.3179698484</c:v>
                </c:pt>
                <c:pt idx="3">
                  <c:v>1284761.6251839912</c:v>
                </c:pt>
                <c:pt idx="4">
                  <c:v>1480666.7131117131</c:v>
                </c:pt>
                <c:pt idx="5">
                  <c:v>1677233.6845887294</c:v>
                </c:pt>
                <c:pt idx="6">
                  <c:v>1867815.2850621501</c:v>
                </c:pt>
                <c:pt idx="7">
                  <c:v>2046547.5887061642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277-4906-B621-64E19D1A93AA}"/>
            </c:ext>
          </c:extLst>
        </c:ser>
        <c:ser>
          <c:idx val="4"/>
          <c:order val="4"/>
          <c:tx>
            <c:strRef>
              <c:f>'Overall Logistic Model'!$C$2</c:f>
              <c:strCache>
                <c:ptCount val="1"/>
                <c:pt idx="0">
                  <c:v>12 Jam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'Overall Logistic Model'!$A$16:$A$23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'Overall Logistic Model'!$C$3:$C$10</c:f>
              <c:numCache>
                <c:formatCode>General</c:formatCode>
                <c:ptCount val="8"/>
                <c:pt idx="0">
                  <c:v>729703.45101190056</c:v>
                </c:pt>
                <c:pt idx="1">
                  <c:v>1054179.0854093549</c:v>
                </c:pt>
                <c:pt idx="2">
                  <c:v>1472848.4686965996</c:v>
                </c:pt>
                <c:pt idx="3">
                  <c:v>1974019.0833607302</c:v>
                </c:pt>
                <c:pt idx="4">
                  <c:v>2522781.9102717014</c:v>
                </c:pt>
                <c:pt idx="5">
                  <c:v>3067993.7121497784</c:v>
                </c:pt>
                <c:pt idx="6">
                  <c:v>3559792.7822661577</c:v>
                </c:pt>
                <c:pt idx="7">
                  <c:v>3966224.8997188555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277-4906-B621-64E19D1A93AA}"/>
            </c:ext>
          </c:extLst>
        </c:ser>
        <c:ser>
          <c:idx val="5"/>
          <c:order val="5"/>
          <c:tx>
            <c:strRef>
              <c:f>'Overall Logistic Model'!$D$2</c:f>
              <c:strCache>
                <c:ptCount val="1"/>
                <c:pt idx="0">
                  <c:v>24 Jam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'Overall Logistic Model'!$A$16:$A$23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'Overall Logistic Model'!$D$3:$D$10</c:f>
              <c:numCache>
                <c:formatCode>General</c:formatCode>
                <c:ptCount val="8"/>
                <c:pt idx="0">
                  <c:v>743121.27469452994</c:v>
                </c:pt>
                <c:pt idx="1">
                  <c:v>1249957.1098265136</c:v>
                </c:pt>
                <c:pt idx="2">
                  <c:v>2005852.3988879812</c:v>
                </c:pt>
                <c:pt idx="3">
                  <c:v>3012399.6386214886</c:v>
                </c:pt>
                <c:pt idx="4">
                  <c:v>4168037.84472282</c:v>
                </c:pt>
                <c:pt idx="5">
                  <c:v>5289153.8488986716</c:v>
                </c:pt>
                <c:pt idx="6">
                  <c:v>6212439.5816610772</c:v>
                </c:pt>
                <c:pt idx="7">
                  <c:v>6875594.8941117171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7277-4906-B621-64E19D1A9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5274959"/>
        <c:axId val="1825280239"/>
      </c:scatterChart>
      <c:valAx>
        <c:axId val="1825274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Hari</a:t>
                </a:r>
                <a:r>
                  <a:rPr lang="en-US" baseline="0"/>
                  <a:t> (t)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5280239"/>
        <c:crosses val="autoZero"/>
        <c:crossBetween val="midCat"/>
      </c:valAx>
      <c:valAx>
        <c:axId val="1825280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Kepadatan</a:t>
                </a:r>
                <a:r>
                  <a:rPr lang="en-US" baseline="0"/>
                  <a:t> (sel/mL)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52749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606467</xdr:colOff>
      <xdr:row>12</xdr:row>
      <xdr:rowOff>15168</xdr:rowOff>
    </xdr:from>
    <xdr:to>
      <xdr:col>12</xdr:col>
      <xdr:colOff>541618</xdr:colOff>
      <xdr:row>30</xdr:row>
      <xdr:rowOff>4809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AF0B138-EBA9-5F55-EC5B-1E2B07C481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0</xdr:colOff>
      <xdr:row>11</xdr:row>
      <xdr:rowOff>37356</xdr:rowOff>
    </xdr:from>
    <xdr:ext cx="2172918" cy="41049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8DC8BD2B-6B57-4074-A18E-1D2C2DC1EAB1}"/>
                </a:ext>
              </a:extLst>
            </xdr:cNvPr>
            <xdr:cNvSpPr txBox="1"/>
          </xdr:nvSpPr>
          <xdr:spPr>
            <a:xfrm>
              <a:off x="10047941" y="2091768"/>
              <a:ext cx="2172918" cy="410497"/>
            </a:xfrm>
            <a:prstGeom prst="rect">
              <a:avLst/>
            </a:prstGeom>
            <a:solidFill>
              <a:schemeClr val="accent4">
                <a:lumMod val="60000"/>
                <a:lumOff val="4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 kern="1200">
                        <a:latin typeface="Cambria Math" panose="02040503050406030204" pitchFamily="18" charset="0"/>
                      </a:rPr>
                      <m:t>𝑃</m:t>
                    </m:r>
                    <m:d>
                      <m:dPr>
                        <m:ctrlPr>
                          <a:rPr lang="en-US" sz="1400" b="0" i="1" kern="1200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0" i="1" kern="1200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</m:d>
                    <m:r>
                      <a:rPr lang="en-US" sz="1400" b="0" i="1" kern="120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400" b="0" i="1" kern="1200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400" b="0" i="1" kern="1200">
                            <a:latin typeface="Cambria Math" panose="02040503050406030204" pitchFamily="18" charset="0"/>
                          </a:rPr>
                          <m:t>𝐾</m:t>
                        </m:r>
                      </m:num>
                      <m:den>
                        <m:r>
                          <a:rPr lang="en-US" sz="1400" b="0" i="1" kern="1200">
                            <a:latin typeface="Cambria Math" panose="02040503050406030204" pitchFamily="18" charset="0"/>
                          </a:rPr>
                          <m:t>1+</m:t>
                        </m:r>
                        <m:sSup>
                          <m:sSupPr>
                            <m:ctrlPr>
                              <a:rPr lang="en-US" sz="1400" b="0" i="1" kern="1200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400" b="0" i="1" kern="1200">
                                <a:latin typeface="Cambria Math" panose="02040503050406030204" pitchFamily="18" charset="0"/>
                              </a:rPr>
                              <m:t>𝑒</m:t>
                            </m:r>
                          </m:e>
                          <m:sup>
                            <m:r>
                              <a:rPr lang="en-US" sz="1400" b="0" i="1" kern="1200">
                                <a:latin typeface="Cambria Math" panose="02040503050406030204" pitchFamily="18" charset="0"/>
                              </a:rPr>
                              <m:t>−</m:t>
                            </m:r>
                            <m:r>
                              <a:rPr lang="en-US" sz="1400" b="0" i="1" kern="1200">
                                <a:latin typeface="Cambria Math" panose="02040503050406030204" pitchFamily="18" charset="0"/>
                              </a:rPr>
                              <m:t>𝑟</m:t>
                            </m:r>
                            <m:r>
                              <a:rPr lang="en-US" sz="1400" b="0" i="1" kern="1200">
                                <a:latin typeface="Cambria Math" panose="02040503050406030204" pitchFamily="18" charset="0"/>
                              </a:rPr>
                              <m:t>(</m:t>
                            </m:r>
                            <m:r>
                              <a:rPr lang="en-US" sz="1400" b="0" i="1" kern="1200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n-US" sz="1400" b="0" i="1" kern="1200">
                                <a:latin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n-US" sz="1400" b="0" i="1" kern="1200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 kern="1200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b>
                                <m:r>
                                  <a:rPr lang="en-US" sz="1400" b="0" i="1" kern="1200">
                                    <a:latin typeface="Cambria Math" panose="02040503050406030204" pitchFamily="18" charset="0"/>
                                  </a:rPr>
                                  <m:t>0</m:t>
                                </m:r>
                              </m:sub>
                            </m:sSub>
                            <m:r>
                              <a:rPr lang="en-US" sz="1400" b="0" i="1" kern="1200">
                                <a:latin typeface="Cambria Math" panose="02040503050406030204" pitchFamily="18" charset="0"/>
                              </a:rPr>
                              <m:t>)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100" kern="12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8DC8BD2B-6B57-4074-A18E-1D2C2DC1EAB1}"/>
                </a:ext>
              </a:extLst>
            </xdr:cNvPr>
            <xdr:cNvSpPr txBox="1"/>
          </xdr:nvSpPr>
          <xdr:spPr>
            <a:xfrm>
              <a:off x="10047941" y="2091768"/>
              <a:ext cx="2172918" cy="410497"/>
            </a:xfrm>
            <a:prstGeom prst="rect">
              <a:avLst/>
            </a:prstGeom>
            <a:solidFill>
              <a:schemeClr val="accent4">
                <a:lumMod val="60000"/>
                <a:lumOff val="4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 kern="1200">
                  <a:latin typeface="Cambria Math" panose="02040503050406030204" pitchFamily="18" charset="0"/>
                </a:rPr>
                <a:t>𝑃(𝑡)=𝐾/(1+𝑒^(−𝑟(𝑡−𝑡_0)) )</a:t>
              </a:r>
              <a:endParaRPr lang="en-US" sz="1100" kern="1200"/>
            </a:p>
          </xdr:txBody>
        </xdr:sp>
      </mc:Fallback>
    </mc:AlternateContent>
    <xdr:clientData/>
  </xdr:oneCellAnchor>
  <xdr:oneCellAnchor>
    <xdr:from>
      <xdr:col>13</xdr:col>
      <xdr:colOff>0</xdr:colOff>
      <xdr:row>15</xdr:row>
      <xdr:rowOff>37356</xdr:rowOff>
    </xdr:from>
    <xdr:ext cx="1030795" cy="1878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F646E635-3BD2-4BA4-833A-0C422291F081}"/>
                </a:ext>
              </a:extLst>
            </xdr:cNvPr>
            <xdr:cNvSpPr txBox="1"/>
          </xdr:nvSpPr>
          <xdr:spPr>
            <a:xfrm>
              <a:off x="10047941" y="2838827"/>
              <a:ext cx="1030795" cy="187872"/>
            </a:xfrm>
            <a:prstGeom prst="rect">
              <a:avLst/>
            </a:prstGeom>
            <a:solidFill>
              <a:schemeClr val="accent4">
                <a:lumMod val="60000"/>
                <a:lumOff val="4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0" i="1" kern="1200">
                        <a:latin typeface="Cambria Math" panose="02040503050406030204" pitchFamily="18" charset="0"/>
                      </a:rPr>
                      <m:t>𝐾</m:t>
                    </m:r>
                    <m:r>
                      <a:rPr lang="en-US" sz="1200" b="0" i="1" kern="120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2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200" b="0" i="1" kern="1200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US" sz="1200" b="0" i="1" kern="1200">
                            <a:latin typeface="Cambria Math" panose="02040503050406030204" pitchFamily="18" charset="0"/>
                          </a:rPr>
                          <m:t>8</m:t>
                        </m:r>
                      </m:sub>
                    </m:sSub>
                    <m:r>
                      <a:rPr lang="en-US" sz="1200" b="0" i="1" kern="1200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200" b="0" i="1" kern="1200">
                        <a:latin typeface="Cambria Math" panose="02040503050406030204" pitchFamily="18" charset="0"/>
                      </a:rPr>
                      <m:t>𝑝</m:t>
                    </m:r>
                    <m:r>
                      <a:rPr lang="en-US" sz="1200" b="0" i="1" kern="120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n-US" sz="1200" b="0" i="1" kern="120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200" b="0" i="1" kern="120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US" sz="1200" b="0" i="1" kern="120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8</m:t>
                        </m:r>
                      </m:sub>
                    </m:sSub>
                  </m:oMath>
                </m:oMathPara>
              </a14:m>
              <a:endParaRPr lang="en-US" sz="1200" kern="12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F646E635-3BD2-4BA4-833A-0C422291F081}"/>
                </a:ext>
              </a:extLst>
            </xdr:cNvPr>
            <xdr:cNvSpPr txBox="1"/>
          </xdr:nvSpPr>
          <xdr:spPr>
            <a:xfrm>
              <a:off x="10047941" y="2838827"/>
              <a:ext cx="1030795" cy="187872"/>
            </a:xfrm>
            <a:prstGeom prst="rect">
              <a:avLst/>
            </a:prstGeom>
            <a:solidFill>
              <a:schemeClr val="accent4">
                <a:lumMod val="60000"/>
                <a:lumOff val="4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200" b="0" i="0" kern="1200">
                  <a:latin typeface="Cambria Math" panose="02040503050406030204" pitchFamily="18" charset="0"/>
                </a:rPr>
                <a:t>𝐾=𝑃_8+𝑝</a:t>
              </a:r>
              <a:r>
                <a:rPr lang="en-US" sz="1200" b="0" i="0" kern="1200">
                  <a:latin typeface="Cambria Math" panose="02040503050406030204" pitchFamily="18" charset="0"/>
                  <a:ea typeface="Cambria Math" panose="02040503050406030204" pitchFamily="18" charset="0"/>
                </a:rPr>
                <a:t>∙𝑃_8</a:t>
              </a:r>
              <a:endParaRPr lang="en-US" sz="1200" kern="1200"/>
            </a:p>
          </xdr:txBody>
        </xdr:sp>
      </mc:Fallback>
    </mc:AlternateContent>
    <xdr:clientData/>
  </xdr:oneCellAnchor>
  <xdr:oneCellAnchor>
    <xdr:from>
      <xdr:col>13</xdr:col>
      <xdr:colOff>0</xdr:colOff>
      <xdr:row>17</xdr:row>
      <xdr:rowOff>46695</xdr:rowOff>
    </xdr:from>
    <xdr:ext cx="1221680" cy="41498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6EF4C63C-55F8-420C-90FA-DF2E54DF4F5F}"/>
                </a:ext>
              </a:extLst>
            </xdr:cNvPr>
            <xdr:cNvSpPr txBox="1"/>
          </xdr:nvSpPr>
          <xdr:spPr>
            <a:xfrm>
              <a:off x="10047941" y="3221695"/>
              <a:ext cx="1221680" cy="414985"/>
            </a:xfrm>
            <a:prstGeom prst="rect">
              <a:avLst/>
            </a:prstGeom>
            <a:solidFill>
              <a:schemeClr val="accent4">
                <a:lumMod val="60000"/>
                <a:lumOff val="4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0" i="1" kern="1200">
                        <a:latin typeface="Cambria Math" panose="02040503050406030204" pitchFamily="18" charset="0"/>
                      </a:rPr>
                      <m:t>𝑌</m:t>
                    </m:r>
                    <m:r>
                      <a:rPr lang="en-US" sz="1200" b="0" i="1" kern="1200">
                        <a:latin typeface="Cambria Math" panose="02040503050406030204" pitchFamily="18" charset="0"/>
                      </a:rPr>
                      <m:t>=</m:t>
                    </m:r>
                    <m:func>
                      <m:funcPr>
                        <m:ctrlPr>
                          <a:rPr lang="en-US" sz="1200" b="0" i="1" kern="1200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US" sz="1200" b="0" i="0" kern="1200">
                            <a:latin typeface="Cambria Math" panose="02040503050406030204" pitchFamily="18" charset="0"/>
                          </a:rPr>
                          <m:t>ln</m:t>
                        </m:r>
                      </m:fName>
                      <m:e>
                        <m:d>
                          <m:dPr>
                            <m:ctrlPr>
                              <a:rPr lang="en-US" sz="1200" b="0" i="1" kern="1200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200" b="0" i="1" kern="1200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200" b="0" i="1" kern="1200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num>
                              <m:den>
                                <m:r>
                                  <a:rPr lang="en-US" sz="1200" b="0" i="1" kern="1200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  <m:d>
                                  <m:dPr>
                                    <m:ctrlPr>
                                      <a:rPr lang="en-US" sz="1200" b="0" i="1" kern="1200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a:rPr lang="en-US" sz="1200" b="0" i="1" kern="1200">
                                        <a:latin typeface="Cambria Math" panose="02040503050406030204" pitchFamily="18" charset="0"/>
                                      </a:rPr>
                                      <m:t>𝑡</m:t>
                                    </m:r>
                                  </m:e>
                                </m:d>
                              </m:den>
                            </m:f>
                            <m:r>
                              <a:rPr lang="en-US" sz="1200" b="0" i="1" kern="1200">
                                <a:latin typeface="Cambria Math" panose="02040503050406030204" pitchFamily="18" charset="0"/>
                              </a:rPr>
                              <m:t>−1</m:t>
                            </m:r>
                          </m:e>
                        </m:d>
                      </m:e>
                    </m:func>
                  </m:oMath>
                </m:oMathPara>
              </a14:m>
              <a:endParaRPr lang="en-US" sz="1200" kern="12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6EF4C63C-55F8-420C-90FA-DF2E54DF4F5F}"/>
                </a:ext>
              </a:extLst>
            </xdr:cNvPr>
            <xdr:cNvSpPr txBox="1"/>
          </xdr:nvSpPr>
          <xdr:spPr>
            <a:xfrm>
              <a:off x="10047941" y="3221695"/>
              <a:ext cx="1221680" cy="414985"/>
            </a:xfrm>
            <a:prstGeom prst="rect">
              <a:avLst/>
            </a:prstGeom>
            <a:solidFill>
              <a:schemeClr val="accent4">
                <a:lumMod val="60000"/>
                <a:lumOff val="4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200" b="0" i="0" kern="1200">
                  <a:latin typeface="Cambria Math" panose="02040503050406030204" pitchFamily="18" charset="0"/>
                </a:rPr>
                <a:t>𝑌=ln⁡(𝐾/𝑃(𝑡) −1)</a:t>
              </a:r>
              <a:endParaRPr lang="en-US" sz="1200" kern="12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14652</xdr:colOff>
      <xdr:row>12</xdr:row>
      <xdr:rowOff>5859</xdr:rowOff>
    </xdr:from>
    <xdr:to>
      <xdr:col>12</xdr:col>
      <xdr:colOff>535214</xdr:colOff>
      <xdr:row>29</xdr:row>
      <xdr:rowOff>172356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4B8B36A-C2B6-31CE-4F56-FEB8C06A0B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0</xdr:colOff>
      <xdr:row>11</xdr:row>
      <xdr:rowOff>0</xdr:rowOff>
    </xdr:from>
    <xdr:ext cx="2172918" cy="41049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EBC9825-4AAC-4C22-9102-2187EB8EE347}"/>
                </a:ext>
              </a:extLst>
            </xdr:cNvPr>
            <xdr:cNvSpPr txBox="1"/>
          </xdr:nvSpPr>
          <xdr:spPr>
            <a:xfrm>
              <a:off x="10051143" y="1995714"/>
              <a:ext cx="2172918" cy="410497"/>
            </a:xfrm>
            <a:prstGeom prst="rect">
              <a:avLst/>
            </a:prstGeom>
            <a:solidFill>
              <a:schemeClr val="accent4">
                <a:lumMod val="60000"/>
                <a:lumOff val="4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 kern="1200">
                        <a:latin typeface="Cambria Math" panose="02040503050406030204" pitchFamily="18" charset="0"/>
                      </a:rPr>
                      <m:t>𝑃</m:t>
                    </m:r>
                    <m:d>
                      <m:dPr>
                        <m:ctrlPr>
                          <a:rPr lang="en-US" sz="1400" b="0" i="1" kern="1200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0" i="1" kern="1200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</m:d>
                    <m:r>
                      <a:rPr lang="en-US" sz="1400" b="0" i="1" kern="120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400" b="0" i="1" kern="1200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400" b="0" i="1" kern="1200">
                            <a:latin typeface="Cambria Math" panose="02040503050406030204" pitchFamily="18" charset="0"/>
                          </a:rPr>
                          <m:t>𝐾</m:t>
                        </m:r>
                      </m:num>
                      <m:den>
                        <m:r>
                          <a:rPr lang="en-US" sz="1400" b="0" i="1" kern="1200">
                            <a:latin typeface="Cambria Math" panose="02040503050406030204" pitchFamily="18" charset="0"/>
                          </a:rPr>
                          <m:t>1+</m:t>
                        </m:r>
                        <m:sSup>
                          <m:sSupPr>
                            <m:ctrlPr>
                              <a:rPr lang="en-US" sz="1400" b="0" i="1" kern="1200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400" b="0" i="1" kern="1200">
                                <a:latin typeface="Cambria Math" panose="02040503050406030204" pitchFamily="18" charset="0"/>
                              </a:rPr>
                              <m:t>𝑒</m:t>
                            </m:r>
                          </m:e>
                          <m:sup>
                            <m:r>
                              <a:rPr lang="en-US" sz="1400" b="0" i="1" kern="1200">
                                <a:latin typeface="Cambria Math" panose="02040503050406030204" pitchFamily="18" charset="0"/>
                              </a:rPr>
                              <m:t>−</m:t>
                            </m:r>
                            <m:r>
                              <a:rPr lang="en-US" sz="1400" b="0" i="1" kern="1200">
                                <a:latin typeface="Cambria Math" panose="02040503050406030204" pitchFamily="18" charset="0"/>
                              </a:rPr>
                              <m:t>𝑟</m:t>
                            </m:r>
                            <m:r>
                              <a:rPr lang="en-US" sz="1400" b="0" i="1" kern="1200">
                                <a:latin typeface="Cambria Math" panose="02040503050406030204" pitchFamily="18" charset="0"/>
                              </a:rPr>
                              <m:t>(</m:t>
                            </m:r>
                            <m:r>
                              <a:rPr lang="en-US" sz="1400" b="0" i="1" kern="1200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n-US" sz="1400" b="0" i="1" kern="1200">
                                <a:latin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n-US" sz="1400" b="0" i="1" kern="1200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 kern="1200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b>
                                <m:r>
                                  <a:rPr lang="en-US" sz="1400" b="0" i="1" kern="1200">
                                    <a:latin typeface="Cambria Math" panose="02040503050406030204" pitchFamily="18" charset="0"/>
                                  </a:rPr>
                                  <m:t>0</m:t>
                                </m:r>
                              </m:sub>
                            </m:sSub>
                            <m:r>
                              <a:rPr lang="en-US" sz="1400" b="0" i="1" kern="1200">
                                <a:latin typeface="Cambria Math" panose="02040503050406030204" pitchFamily="18" charset="0"/>
                              </a:rPr>
                              <m:t>)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100" kern="12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EBC9825-4AAC-4C22-9102-2187EB8EE347}"/>
                </a:ext>
              </a:extLst>
            </xdr:cNvPr>
            <xdr:cNvSpPr txBox="1"/>
          </xdr:nvSpPr>
          <xdr:spPr>
            <a:xfrm>
              <a:off x="10051143" y="1995714"/>
              <a:ext cx="2172918" cy="410497"/>
            </a:xfrm>
            <a:prstGeom prst="rect">
              <a:avLst/>
            </a:prstGeom>
            <a:solidFill>
              <a:schemeClr val="accent4">
                <a:lumMod val="60000"/>
                <a:lumOff val="4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 kern="1200">
                  <a:latin typeface="Cambria Math" panose="02040503050406030204" pitchFamily="18" charset="0"/>
                </a:rPr>
                <a:t>𝑃(𝑡)=𝐾/(1+𝑒^(−𝑟(𝑡−𝑡_0)) )</a:t>
              </a:r>
              <a:endParaRPr lang="en-US" sz="1100" kern="1200"/>
            </a:p>
          </xdr:txBody>
        </xdr:sp>
      </mc:Fallback>
    </mc:AlternateContent>
    <xdr:clientData/>
  </xdr:oneCellAnchor>
  <xdr:oneCellAnchor>
    <xdr:from>
      <xdr:col>13</xdr:col>
      <xdr:colOff>0</xdr:colOff>
      <xdr:row>15</xdr:row>
      <xdr:rowOff>-1</xdr:rowOff>
    </xdr:from>
    <xdr:ext cx="1030795" cy="1878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393974F5-5A73-4BB2-B11F-719ED8F54498}"/>
                </a:ext>
              </a:extLst>
            </xdr:cNvPr>
            <xdr:cNvSpPr txBox="1"/>
          </xdr:nvSpPr>
          <xdr:spPr>
            <a:xfrm>
              <a:off x="10051143" y="2721428"/>
              <a:ext cx="1030795" cy="187872"/>
            </a:xfrm>
            <a:prstGeom prst="rect">
              <a:avLst/>
            </a:prstGeom>
            <a:solidFill>
              <a:schemeClr val="accent4">
                <a:lumMod val="60000"/>
                <a:lumOff val="4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0" i="1" kern="1200">
                        <a:latin typeface="Cambria Math" panose="02040503050406030204" pitchFamily="18" charset="0"/>
                      </a:rPr>
                      <m:t>𝐾</m:t>
                    </m:r>
                    <m:r>
                      <a:rPr lang="en-US" sz="1200" b="0" i="1" kern="120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2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200" b="0" i="1" kern="1200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US" sz="1200" b="0" i="1" kern="1200">
                            <a:latin typeface="Cambria Math" panose="02040503050406030204" pitchFamily="18" charset="0"/>
                          </a:rPr>
                          <m:t>8</m:t>
                        </m:r>
                      </m:sub>
                    </m:sSub>
                    <m:r>
                      <a:rPr lang="en-US" sz="1200" b="0" i="1" kern="1200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200" b="0" i="1" kern="1200">
                        <a:latin typeface="Cambria Math" panose="02040503050406030204" pitchFamily="18" charset="0"/>
                      </a:rPr>
                      <m:t>𝑝</m:t>
                    </m:r>
                    <m:r>
                      <a:rPr lang="en-US" sz="1200" b="0" i="1" kern="120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n-US" sz="1200" b="0" i="1" kern="120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200" b="0" i="1" kern="120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US" sz="1200" b="0" i="1" kern="120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8</m:t>
                        </m:r>
                      </m:sub>
                    </m:sSub>
                  </m:oMath>
                </m:oMathPara>
              </a14:m>
              <a:endParaRPr lang="en-US" sz="1200" kern="12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393974F5-5A73-4BB2-B11F-719ED8F54498}"/>
                </a:ext>
              </a:extLst>
            </xdr:cNvPr>
            <xdr:cNvSpPr txBox="1"/>
          </xdr:nvSpPr>
          <xdr:spPr>
            <a:xfrm>
              <a:off x="10051143" y="2721428"/>
              <a:ext cx="1030795" cy="187872"/>
            </a:xfrm>
            <a:prstGeom prst="rect">
              <a:avLst/>
            </a:prstGeom>
            <a:solidFill>
              <a:schemeClr val="accent4">
                <a:lumMod val="60000"/>
                <a:lumOff val="4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200" b="0" i="0" kern="1200">
                  <a:latin typeface="Cambria Math" panose="02040503050406030204" pitchFamily="18" charset="0"/>
                </a:rPr>
                <a:t>𝐾=𝑃_8+𝑝</a:t>
              </a:r>
              <a:r>
                <a:rPr lang="en-US" sz="1200" b="0" i="0" kern="1200">
                  <a:latin typeface="Cambria Math" panose="02040503050406030204" pitchFamily="18" charset="0"/>
                  <a:ea typeface="Cambria Math" panose="02040503050406030204" pitchFamily="18" charset="0"/>
                </a:rPr>
                <a:t>∙𝑃_8</a:t>
              </a:r>
              <a:endParaRPr lang="en-US" sz="1200" kern="1200"/>
            </a:p>
          </xdr:txBody>
        </xdr:sp>
      </mc:Fallback>
    </mc:AlternateContent>
    <xdr:clientData/>
  </xdr:oneCellAnchor>
  <xdr:oneCellAnchor>
    <xdr:from>
      <xdr:col>13</xdr:col>
      <xdr:colOff>0</xdr:colOff>
      <xdr:row>17</xdr:row>
      <xdr:rowOff>9337</xdr:rowOff>
    </xdr:from>
    <xdr:ext cx="1221680" cy="41498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E50B30C-B3C8-4844-B058-AC882E5E3537}"/>
                </a:ext>
              </a:extLst>
            </xdr:cNvPr>
            <xdr:cNvSpPr txBox="1"/>
          </xdr:nvSpPr>
          <xdr:spPr>
            <a:xfrm>
              <a:off x="10051143" y="3093623"/>
              <a:ext cx="1221680" cy="414985"/>
            </a:xfrm>
            <a:prstGeom prst="rect">
              <a:avLst/>
            </a:prstGeom>
            <a:solidFill>
              <a:schemeClr val="accent4">
                <a:lumMod val="60000"/>
                <a:lumOff val="4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0" i="1" kern="1200">
                        <a:latin typeface="Cambria Math" panose="02040503050406030204" pitchFamily="18" charset="0"/>
                      </a:rPr>
                      <m:t>𝑌</m:t>
                    </m:r>
                    <m:r>
                      <a:rPr lang="en-US" sz="1200" b="0" i="1" kern="1200">
                        <a:latin typeface="Cambria Math" panose="02040503050406030204" pitchFamily="18" charset="0"/>
                      </a:rPr>
                      <m:t>=</m:t>
                    </m:r>
                    <m:func>
                      <m:funcPr>
                        <m:ctrlPr>
                          <a:rPr lang="en-US" sz="1200" b="0" i="1" kern="1200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US" sz="1200" b="0" i="0" kern="1200">
                            <a:latin typeface="Cambria Math" panose="02040503050406030204" pitchFamily="18" charset="0"/>
                          </a:rPr>
                          <m:t>ln</m:t>
                        </m:r>
                      </m:fName>
                      <m:e>
                        <m:d>
                          <m:dPr>
                            <m:ctrlPr>
                              <a:rPr lang="en-US" sz="1200" b="0" i="1" kern="1200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200" b="0" i="1" kern="1200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200" b="0" i="1" kern="1200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num>
                              <m:den>
                                <m:r>
                                  <a:rPr lang="en-US" sz="1200" b="0" i="1" kern="1200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  <m:d>
                                  <m:dPr>
                                    <m:ctrlPr>
                                      <a:rPr lang="en-US" sz="1200" b="0" i="1" kern="1200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a:rPr lang="en-US" sz="1200" b="0" i="1" kern="1200">
                                        <a:latin typeface="Cambria Math" panose="02040503050406030204" pitchFamily="18" charset="0"/>
                                      </a:rPr>
                                      <m:t>𝑡</m:t>
                                    </m:r>
                                  </m:e>
                                </m:d>
                              </m:den>
                            </m:f>
                            <m:r>
                              <a:rPr lang="en-US" sz="1200" b="0" i="1" kern="1200">
                                <a:latin typeface="Cambria Math" panose="02040503050406030204" pitchFamily="18" charset="0"/>
                              </a:rPr>
                              <m:t>−1</m:t>
                            </m:r>
                          </m:e>
                        </m:d>
                      </m:e>
                    </m:func>
                  </m:oMath>
                </m:oMathPara>
              </a14:m>
              <a:endParaRPr lang="en-US" sz="1200" kern="12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E50B30C-B3C8-4844-B058-AC882E5E3537}"/>
                </a:ext>
              </a:extLst>
            </xdr:cNvPr>
            <xdr:cNvSpPr txBox="1"/>
          </xdr:nvSpPr>
          <xdr:spPr>
            <a:xfrm>
              <a:off x="10051143" y="3093623"/>
              <a:ext cx="1221680" cy="414985"/>
            </a:xfrm>
            <a:prstGeom prst="rect">
              <a:avLst/>
            </a:prstGeom>
            <a:solidFill>
              <a:schemeClr val="accent4">
                <a:lumMod val="60000"/>
                <a:lumOff val="4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200" b="0" i="0" kern="1200">
                  <a:latin typeface="Cambria Math" panose="02040503050406030204" pitchFamily="18" charset="0"/>
                </a:rPr>
                <a:t>𝑌=ln⁡(𝐾/𝑃(𝑡) −1)</a:t>
              </a:r>
              <a:endParaRPr lang="en-US" sz="1200" kern="12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12654</xdr:colOff>
      <xdr:row>11</xdr:row>
      <xdr:rowOff>166690</xdr:rowOff>
    </xdr:from>
    <xdr:to>
      <xdr:col>12</xdr:col>
      <xdr:colOff>578135</xdr:colOff>
      <xdr:row>29</xdr:row>
      <xdr:rowOff>145539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2F21BEE-343C-7E59-CEA9-9C8311D38E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0</xdr:colOff>
      <xdr:row>11</xdr:row>
      <xdr:rowOff>0</xdr:rowOff>
    </xdr:from>
    <xdr:ext cx="2172918" cy="41049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C69C2FF-7CA9-427D-A351-7ECC5CD35B4A}"/>
                </a:ext>
              </a:extLst>
            </xdr:cNvPr>
            <xdr:cNvSpPr txBox="1"/>
          </xdr:nvSpPr>
          <xdr:spPr>
            <a:xfrm>
              <a:off x="10046269" y="1980821"/>
              <a:ext cx="2172918" cy="410497"/>
            </a:xfrm>
            <a:prstGeom prst="rect">
              <a:avLst/>
            </a:prstGeom>
            <a:solidFill>
              <a:schemeClr val="accent4">
                <a:lumMod val="60000"/>
                <a:lumOff val="4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 kern="1200">
                        <a:latin typeface="Cambria Math" panose="02040503050406030204" pitchFamily="18" charset="0"/>
                      </a:rPr>
                      <m:t>𝑃</m:t>
                    </m:r>
                    <m:d>
                      <m:dPr>
                        <m:ctrlPr>
                          <a:rPr lang="en-US" sz="1400" b="0" i="1" kern="1200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0" i="1" kern="1200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</m:d>
                    <m:r>
                      <a:rPr lang="en-US" sz="1400" b="0" i="1" kern="120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400" b="0" i="1" kern="1200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400" b="0" i="1" kern="1200">
                            <a:latin typeface="Cambria Math" panose="02040503050406030204" pitchFamily="18" charset="0"/>
                          </a:rPr>
                          <m:t>𝐾</m:t>
                        </m:r>
                      </m:num>
                      <m:den>
                        <m:r>
                          <a:rPr lang="en-US" sz="1400" b="0" i="1" kern="1200">
                            <a:latin typeface="Cambria Math" panose="02040503050406030204" pitchFamily="18" charset="0"/>
                          </a:rPr>
                          <m:t>1+</m:t>
                        </m:r>
                        <m:sSup>
                          <m:sSupPr>
                            <m:ctrlPr>
                              <a:rPr lang="en-US" sz="1400" b="0" i="1" kern="1200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400" b="0" i="1" kern="1200">
                                <a:latin typeface="Cambria Math" panose="02040503050406030204" pitchFamily="18" charset="0"/>
                              </a:rPr>
                              <m:t>𝑒</m:t>
                            </m:r>
                          </m:e>
                          <m:sup>
                            <m:r>
                              <a:rPr lang="en-US" sz="1400" b="0" i="1" kern="1200">
                                <a:latin typeface="Cambria Math" panose="02040503050406030204" pitchFamily="18" charset="0"/>
                              </a:rPr>
                              <m:t>−</m:t>
                            </m:r>
                            <m:r>
                              <a:rPr lang="en-US" sz="1400" b="0" i="1" kern="1200">
                                <a:latin typeface="Cambria Math" panose="02040503050406030204" pitchFamily="18" charset="0"/>
                              </a:rPr>
                              <m:t>𝑟</m:t>
                            </m:r>
                            <m:r>
                              <a:rPr lang="en-US" sz="1400" b="0" i="1" kern="1200">
                                <a:latin typeface="Cambria Math" panose="02040503050406030204" pitchFamily="18" charset="0"/>
                              </a:rPr>
                              <m:t>(</m:t>
                            </m:r>
                            <m:r>
                              <a:rPr lang="en-US" sz="1400" b="0" i="1" kern="1200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n-US" sz="1400" b="0" i="1" kern="1200">
                                <a:latin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n-US" sz="1400" b="0" i="1" kern="1200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 kern="1200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b>
                                <m:r>
                                  <a:rPr lang="en-US" sz="1400" b="0" i="1" kern="1200">
                                    <a:latin typeface="Cambria Math" panose="02040503050406030204" pitchFamily="18" charset="0"/>
                                  </a:rPr>
                                  <m:t>0</m:t>
                                </m:r>
                              </m:sub>
                            </m:sSub>
                            <m:r>
                              <a:rPr lang="en-US" sz="1400" b="0" i="1" kern="1200">
                                <a:latin typeface="Cambria Math" panose="02040503050406030204" pitchFamily="18" charset="0"/>
                              </a:rPr>
                              <m:t>)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100" kern="12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C69C2FF-7CA9-427D-A351-7ECC5CD35B4A}"/>
                </a:ext>
              </a:extLst>
            </xdr:cNvPr>
            <xdr:cNvSpPr txBox="1"/>
          </xdr:nvSpPr>
          <xdr:spPr>
            <a:xfrm>
              <a:off x="10046269" y="1980821"/>
              <a:ext cx="2172918" cy="410497"/>
            </a:xfrm>
            <a:prstGeom prst="rect">
              <a:avLst/>
            </a:prstGeom>
            <a:solidFill>
              <a:schemeClr val="accent4">
                <a:lumMod val="60000"/>
                <a:lumOff val="4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 kern="1200">
                  <a:latin typeface="Cambria Math" panose="02040503050406030204" pitchFamily="18" charset="0"/>
                </a:rPr>
                <a:t>𝑃(𝑡)=𝐾/(1+𝑒^(−𝑟(𝑡−𝑡_0)) )</a:t>
              </a:r>
              <a:endParaRPr lang="en-US" sz="1100" kern="1200"/>
            </a:p>
          </xdr:txBody>
        </xdr:sp>
      </mc:Fallback>
    </mc:AlternateContent>
    <xdr:clientData/>
  </xdr:oneCellAnchor>
  <xdr:oneCellAnchor>
    <xdr:from>
      <xdr:col>13</xdr:col>
      <xdr:colOff>0</xdr:colOff>
      <xdr:row>15</xdr:row>
      <xdr:rowOff>5416</xdr:rowOff>
    </xdr:from>
    <xdr:ext cx="1030795" cy="1878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90EF4307-D28A-4B21-96E0-3F5319B4E404}"/>
                </a:ext>
              </a:extLst>
            </xdr:cNvPr>
            <xdr:cNvSpPr txBox="1"/>
          </xdr:nvSpPr>
          <xdr:spPr>
            <a:xfrm>
              <a:off x="10046269" y="2706535"/>
              <a:ext cx="1030795" cy="187872"/>
            </a:xfrm>
            <a:prstGeom prst="rect">
              <a:avLst/>
            </a:prstGeom>
            <a:solidFill>
              <a:schemeClr val="accent4">
                <a:lumMod val="60000"/>
                <a:lumOff val="4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0" i="1" kern="1200">
                        <a:latin typeface="Cambria Math" panose="02040503050406030204" pitchFamily="18" charset="0"/>
                      </a:rPr>
                      <m:t>𝐾</m:t>
                    </m:r>
                    <m:r>
                      <a:rPr lang="en-US" sz="1200" b="0" i="1" kern="120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2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200" b="0" i="1" kern="1200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US" sz="1200" b="0" i="1" kern="1200">
                            <a:latin typeface="Cambria Math" panose="02040503050406030204" pitchFamily="18" charset="0"/>
                          </a:rPr>
                          <m:t>8</m:t>
                        </m:r>
                      </m:sub>
                    </m:sSub>
                    <m:r>
                      <a:rPr lang="en-US" sz="1200" b="0" i="1" kern="1200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200" b="0" i="1" kern="1200">
                        <a:latin typeface="Cambria Math" panose="02040503050406030204" pitchFamily="18" charset="0"/>
                      </a:rPr>
                      <m:t>𝑝</m:t>
                    </m:r>
                    <m:r>
                      <a:rPr lang="en-US" sz="1200" b="0" i="1" kern="120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n-US" sz="1200" b="0" i="1" kern="120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200" b="0" i="1" kern="120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US" sz="1200" b="0" i="1" kern="120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8</m:t>
                        </m:r>
                      </m:sub>
                    </m:sSub>
                  </m:oMath>
                </m:oMathPara>
              </a14:m>
              <a:endParaRPr lang="en-US" sz="1200" kern="12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90EF4307-D28A-4B21-96E0-3F5319B4E404}"/>
                </a:ext>
              </a:extLst>
            </xdr:cNvPr>
            <xdr:cNvSpPr txBox="1"/>
          </xdr:nvSpPr>
          <xdr:spPr>
            <a:xfrm>
              <a:off x="10046269" y="2706535"/>
              <a:ext cx="1030795" cy="187872"/>
            </a:xfrm>
            <a:prstGeom prst="rect">
              <a:avLst/>
            </a:prstGeom>
            <a:solidFill>
              <a:schemeClr val="accent4">
                <a:lumMod val="60000"/>
                <a:lumOff val="4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200" b="0" i="0" kern="1200">
                  <a:latin typeface="Cambria Math" panose="02040503050406030204" pitchFamily="18" charset="0"/>
                </a:rPr>
                <a:t>𝐾=𝑃_8+𝑝</a:t>
              </a:r>
              <a:r>
                <a:rPr lang="en-US" sz="1200" b="0" i="0" kern="1200">
                  <a:latin typeface="Cambria Math" panose="02040503050406030204" pitchFamily="18" charset="0"/>
                  <a:ea typeface="Cambria Math" panose="02040503050406030204" pitchFamily="18" charset="0"/>
                </a:rPr>
                <a:t>∙𝑃_8</a:t>
              </a:r>
              <a:endParaRPr lang="en-US" sz="1200" kern="1200"/>
            </a:p>
          </xdr:txBody>
        </xdr:sp>
      </mc:Fallback>
    </mc:AlternateContent>
    <xdr:clientData/>
  </xdr:oneCellAnchor>
  <xdr:oneCellAnchor>
    <xdr:from>
      <xdr:col>13</xdr:col>
      <xdr:colOff>0</xdr:colOff>
      <xdr:row>17</xdr:row>
      <xdr:rowOff>17461</xdr:rowOff>
    </xdr:from>
    <xdr:ext cx="1221680" cy="41498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450BC168-12D4-4E3C-8382-FFB02854F813}"/>
                </a:ext>
              </a:extLst>
            </xdr:cNvPr>
            <xdr:cNvSpPr txBox="1"/>
          </xdr:nvSpPr>
          <xdr:spPr>
            <a:xfrm>
              <a:off x="10046269" y="3078730"/>
              <a:ext cx="1221680" cy="414985"/>
            </a:xfrm>
            <a:prstGeom prst="rect">
              <a:avLst/>
            </a:prstGeom>
            <a:solidFill>
              <a:schemeClr val="accent4">
                <a:lumMod val="60000"/>
                <a:lumOff val="4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0" i="1" kern="1200">
                        <a:latin typeface="Cambria Math" panose="02040503050406030204" pitchFamily="18" charset="0"/>
                      </a:rPr>
                      <m:t>𝑌</m:t>
                    </m:r>
                    <m:r>
                      <a:rPr lang="en-US" sz="1200" b="0" i="1" kern="1200">
                        <a:latin typeface="Cambria Math" panose="02040503050406030204" pitchFamily="18" charset="0"/>
                      </a:rPr>
                      <m:t>=</m:t>
                    </m:r>
                    <m:func>
                      <m:funcPr>
                        <m:ctrlPr>
                          <a:rPr lang="en-US" sz="1200" b="0" i="1" kern="1200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US" sz="1200" b="0" i="0" kern="1200">
                            <a:latin typeface="Cambria Math" panose="02040503050406030204" pitchFamily="18" charset="0"/>
                          </a:rPr>
                          <m:t>ln</m:t>
                        </m:r>
                      </m:fName>
                      <m:e>
                        <m:d>
                          <m:dPr>
                            <m:ctrlPr>
                              <a:rPr lang="en-US" sz="1200" b="0" i="1" kern="1200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200" b="0" i="1" kern="1200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200" b="0" i="1" kern="1200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num>
                              <m:den>
                                <m:r>
                                  <a:rPr lang="en-US" sz="1200" b="0" i="1" kern="1200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  <m:d>
                                  <m:dPr>
                                    <m:ctrlPr>
                                      <a:rPr lang="en-US" sz="1200" b="0" i="1" kern="1200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a:rPr lang="en-US" sz="1200" b="0" i="1" kern="1200">
                                        <a:latin typeface="Cambria Math" panose="02040503050406030204" pitchFamily="18" charset="0"/>
                                      </a:rPr>
                                      <m:t>𝑡</m:t>
                                    </m:r>
                                  </m:e>
                                </m:d>
                              </m:den>
                            </m:f>
                            <m:r>
                              <a:rPr lang="en-US" sz="1200" b="0" i="1" kern="1200">
                                <a:latin typeface="Cambria Math" panose="02040503050406030204" pitchFamily="18" charset="0"/>
                              </a:rPr>
                              <m:t>−1</m:t>
                            </m:r>
                          </m:e>
                        </m:d>
                      </m:e>
                    </m:func>
                  </m:oMath>
                </m:oMathPara>
              </a14:m>
              <a:endParaRPr lang="en-US" sz="1200" kern="12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450BC168-12D4-4E3C-8382-FFB02854F813}"/>
                </a:ext>
              </a:extLst>
            </xdr:cNvPr>
            <xdr:cNvSpPr txBox="1"/>
          </xdr:nvSpPr>
          <xdr:spPr>
            <a:xfrm>
              <a:off x="10046269" y="3078730"/>
              <a:ext cx="1221680" cy="414985"/>
            </a:xfrm>
            <a:prstGeom prst="rect">
              <a:avLst/>
            </a:prstGeom>
            <a:solidFill>
              <a:schemeClr val="accent4">
                <a:lumMod val="60000"/>
                <a:lumOff val="4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200" b="0" i="0" kern="1200">
                  <a:latin typeface="Cambria Math" panose="02040503050406030204" pitchFamily="18" charset="0"/>
                </a:rPr>
                <a:t>𝑌=ln⁡(𝐾/𝑃(𝑡) −1)</a:t>
              </a:r>
              <a:endParaRPr lang="en-US" sz="1200" kern="1200"/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314325</xdr:colOff>
      <xdr:row>0</xdr:row>
      <xdr:rowOff>12700</xdr:rowOff>
    </xdr:from>
    <xdr:to>
      <xdr:col>13</xdr:col>
      <xdr:colOff>19050</xdr:colOff>
      <xdr:row>13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FF4F257-13DB-80FC-D92F-6FAF4500BB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295275</xdr:colOff>
      <xdr:row>14</xdr:row>
      <xdr:rowOff>158750</xdr:rowOff>
    </xdr:from>
    <xdr:to>
      <xdr:col>13</xdr:col>
      <xdr:colOff>12700</xdr:colOff>
      <xdr:row>28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892B94D-72A2-8884-E70A-E58674E943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314325</xdr:colOff>
      <xdr:row>0</xdr:row>
      <xdr:rowOff>31750</xdr:rowOff>
    </xdr:from>
    <xdr:to>
      <xdr:col>23</xdr:col>
      <xdr:colOff>0</xdr:colOff>
      <xdr:row>13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4F29B48-5D4B-C47E-ADED-97F944F3EC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336179</xdr:colOff>
      <xdr:row>14</xdr:row>
      <xdr:rowOff>182283</xdr:rowOff>
    </xdr:from>
    <xdr:to>
      <xdr:col>23</xdr:col>
      <xdr:colOff>44825</xdr:colOff>
      <xdr:row>28</xdr:row>
      <xdr:rowOff>164353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3D86AB5-7BB6-D6CC-E48A-1CF125FF60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203200</xdr:colOff>
          <xdr:row>2</xdr:row>
          <xdr:rowOff>171450</xdr:rowOff>
        </xdr:from>
        <xdr:to>
          <xdr:col>12</xdr:col>
          <xdr:colOff>25400</xdr:colOff>
          <xdr:row>4</xdr:row>
          <xdr:rowOff>158750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234950</xdr:colOff>
          <xdr:row>2</xdr:row>
          <xdr:rowOff>171450</xdr:rowOff>
        </xdr:from>
        <xdr:to>
          <xdr:col>12</xdr:col>
          <xdr:colOff>1136650</xdr:colOff>
          <xdr:row>4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END RUN</a:t>
              </a:r>
            </a:p>
          </xdr:txBody>
        </xdr:sp>
        <xdr:clientData fPrintsWithSheet="0"/>
      </xdr:twoCellAnchor>
    </mc:Choice>
    <mc:Fallback/>
  </mc:AlternateContent>
  <xdr:oneCellAnchor>
    <xdr:from>
      <xdr:col>11</xdr:col>
      <xdr:colOff>21568</xdr:colOff>
      <xdr:row>6</xdr:row>
      <xdr:rowOff>6451</xdr:rowOff>
    </xdr:from>
    <xdr:ext cx="2172918" cy="4272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0D82745-408A-4907-A774-1CBAFEBADE7D}"/>
                </a:ext>
              </a:extLst>
            </xdr:cNvPr>
            <xdr:cNvSpPr txBox="1"/>
          </xdr:nvSpPr>
          <xdr:spPr>
            <a:xfrm>
              <a:off x="9724368" y="1111351"/>
              <a:ext cx="2172918" cy="427296"/>
            </a:xfrm>
            <a:prstGeom prst="rect">
              <a:avLst/>
            </a:prstGeom>
            <a:solidFill>
              <a:schemeClr val="accent4">
                <a:lumMod val="60000"/>
                <a:lumOff val="4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 kern="1200">
                        <a:latin typeface="Cambria Math" panose="02040503050406030204" pitchFamily="18" charset="0"/>
                      </a:rPr>
                      <m:t>𝑃</m:t>
                    </m:r>
                    <m:d>
                      <m:dPr>
                        <m:ctrlPr>
                          <a:rPr lang="en-US" sz="1400" b="0" i="1" kern="1200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0" i="1" kern="1200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</m:d>
                    <m:r>
                      <a:rPr lang="en-US" sz="1400" b="0" i="1" kern="120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400" b="0" i="1" kern="1200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400" b="0" i="1" kern="120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 kern="1200">
                                <a:latin typeface="Cambria Math" panose="02040503050406030204" pitchFamily="18" charset="0"/>
                              </a:rPr>
                              <m:t>𝐾</m:t>
                            </m:r>
                          </m:e>
                          <m:sub>
                            <m:r>
                              <a:rPr lang="en-US" sz="1400" b="0" i="1" kern="1200">
                                <a:latin typeface="Cambria Math" panose="02040503050406030204" pitchFamily="18" charset="0"/>
                              </a:rPr>
                              <m:t>h</m:t>
                            </m:r>
                          </m:sub>
                        </m:sSub>
                      </m:num>
                      <m:den>
                        <m:r>
                          <a:rPr lang="en-US" sz="1400" b="0" i="1" kern="1200">
                            <a:latin typeface="Cambria Math" panose="02040503050406030204" pitchFamily="18" charset="0"/>
                          </a:rPr>
                          <m:t>1+</m:t>
                        </m:r>
                        <m:sSup>
                          <m:sSupPr>
                            <m:ctrlPr>
                              <a:rPr lang="en-US" sz="1400" b="0" i="1" kern="1200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400" b="0" i="1" kern="1200">
                                <a:latin typeface="Cambria Math" panose="02040503050406030204" pitchFamily="18" charset="0"/>
                              </a:rPr>
                              <m:t>𝑒</m:t>
                            </m:r>
                          </m:e>
                          <m:sup>
                            <m:r>
                              <a:rPr lang="en-US" sz="1400" b="0" i="1" kern="1200">
                                <a:latin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n-US" sz="1400" b="0" i="1" kern="1200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 kern="1200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en-US" sz="1400" b="0" i="1" kern="1200">
                                    <a:latin typeface="Cambria Math" panose="02040503050406030204" pitchFamily="18" charset="0"/>
                                  </a:rPr>
                                  <m:t>𝑛𝑒𝑤</m:t>
                                </m:r>
                              </m:sub>
                            </m:sSub>
                            <m:r>
                              <a:rPr lang="en-US" sz="1400" b="0" i="1" kern="1200">
                                <a:latin typeface="Cambria Math" panose="02040503050406030204" pitchFamily="18" charset="0"/>
                              </a:rPr>
                              <m:t>(</m:t>
                            </m:r>
                            <m:r>
                              <a:rPr lang="en-US" sz="1400" b="0" i="1" kern="1200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n-US" sz="1400" b="0" i="1" kern="1200">
                                <a:latin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n-US" sz="1400" b="0" i="1" kern="1200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 kern="1200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b>
                                <m:sSub>
                                  <m:sSubPr>
                                    <m:ctrlPr>
                                      <a:rPr lang="en-US" sz="1400" b="0" i="1" kern="1200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 kern="1200">
                                        <a:latin typeface="Cambria Math" panose="02040503050406030204" pitchFamily="18" charset="0"/>
                                      </a:rPr>
                                      <m:t>0</m:t>
                                    </m:r>
                                  </m:e>
                                  <m:sub>
                                    <m:r>
                                      <a:rPr lang="en-US" sz="1400" b="0" i="1" kern="1200">
                                        <a:latin typeface="Cambria Math" panose="02040503050406030204" pitchFamily="18" charset="0"/>
                                      </a:rPr>
                                      <m:t>𝑛𝑒𝑤</m:t>
                                    </m:r>
                                  </m:sub>
                                </m:sSub>
                              </m:sub>
                            </m:sSub>
                            <m:r>
                              <a:rPr lang="en-US" sz="1400" b="0" i="1" kern="1200">
                                <a:latin typeface="Cambria Math" panose="02040503050406030204" pitchFamily="18" charset="0"/>
                              </a:rPr>
                              <m:t>)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100" kern="12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0D82745-408A-4907-A774-1CBAFEBADE7D}"/>
                </a:ext>
              </a:extLst>
            </xdr:cNvPr>
            <xdr:cNvSpPr txBox="1"/>
          </xdr:nvSpPr>
          <xdr:spPr>
            <a:xfrm>
              <a:off x="9724368" y="1111351"/>
              <a:ext cx="2172918" cy="427296"/>
            </a:xfrm>
            <a:prstGeom prst="rect">
              <a:avLst/>
            </a:prstGeom>
            <a:solidFill>
              <a:schemeClr val="accent4">
                <a:lumMod val="60000"/>
                <a:lumOff val="4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 kern="1200">
                  <a:latin typeface="Cambria Math" panose="02040503050406030204" pitchFamily="18" charset="0"/>
                </a:rPr>
                <a:t>𝑃(𝑡)=𝐾_ℎ/(1+𝑒^(−𝑟_𝑛𝑒𝑤 (𝑡−𝑡_(0_𝑛𝑒𝑤 ))) )</a:t>
              </a:r>
              <a:endParaRPr lang="en-US" sz="1100" kern="1200"/>
            </a:p>
          </xdr:txBody>
        </xdr:sp>
      </mc:Fallback>
    </mc:AlternateContent>
    <xdr:clientData/>
  </xdr:oneCellAnchor>
  <xdr:oneCellAnchor>
    <xdr:from>
      <xdr:col>17</xdr:col>
      <xdr:colOff>183233</xdr:colOff>
      <xdr:row>10</xdr:row>
      <xdr:rowOff>8293</xdr:rowOff>
    </xdr:from>
    <xdr:ext cx="1974964" cy="3583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2894F47-AED6-4008-873B-1347B5A5086D}"/>
                </a:ext>
              </a:extLst>
            </xdr:cNvPr>
            <xdr:cNvSpPr txBox="1"/>
          </xdr:nvSpPr>
          <xdr:spPr>
            <a:xfrm>
              <a:off x="15634900" y="1880729"/>
              <a:ext cx="1974964" cy="358368"/>
            </a:xfrm>
            <a:prstGeom prst="rect">
              <a:avLst/>
            </a:prstGeom>
            <a:solidFill>
              <a:schemeClr val="accent4">
                <a:lumMod val="60000"/>
                <a:lumOff val="4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20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200" b="0" i="1" kern="1200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n-US" sz="1200" b="0" i="1" kern="1200">
                            <a:latin typeface="Cambria Math" panose="02040503050406030204" pitchFamily="18" charset="0"/>
                          </a:rPr>
                          <m:t>h</m:t>
                        </m:r>
                      </m:sub>
                    </m:sSub>
                    <m:r>
                      <a:rPr lang="en-US" sz="1200" b="0" i="1" kern="120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2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200" b="0" i="1" kern="1200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n-US" sz="1200" b="0" i="1" kern="1200">
                            <a:latin typeface="Cambria Math" panose="02040503050406030204" pitchFamily="18" charset="0"/>
                          </a:rPr>
                          <m:t>6</m:t>
                        </m:r>
                      </m:sub>
                    </m:sSub>
                    <m:r>
                      <a:rPr lang="en-US" sz="1200" b="0" i="1" kern="1200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n-US" sz="1200" b="0" i="1" kern="1200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en-US" sz="1200" b="0" i="1" kern="1200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US" sz="1200" b="0" i="1" kern="1200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200" b="0" i="1" kern="1200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n-US" sz="1200" b="0" i="1" kern="1200">
                                    <a:latin typeface="Cambria Math" panose="02040503050406030204" pitchFamily="18" charset="0"/>
                                  </a:rPr>
                                  <m:t>12</m:t>
                                </m:r>
                              </m:sub>
                            </m:sSub>
                            <m:r>
                              <a:rPr lang="en-US" sz="1200" b="0" i="1" kern="1200">
                                <a:latin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n-US" sz="1200" b="0" i="1" kern="1200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200" b="0" i="1" kern="1200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n-US" sz="1200" b="0" i="1" kern="1200">
                                    <a:latin typeface="Cambria Math" panose="02040503050406030204" pitchFamily="18" charset="0"/>
                                  </a:rPr>
                                  <m:t>6</m:t>
                                </m:r>
                              </m:sub>
                            </m:sSub>
                          </m:e>
                        </m:d>
                      </m:num>
                      <m:den>
                        <m:r>
                          <a:rPr lang="en-US" sz="1200" b="0" i="1" kern="1200">
                            <a:latin typeface="Cambria Math" panose="02040503050406030204" pitchFamily="18" charset="0"/>
                          </a:rPr>
                          <m:t>12−6</m:t>
                        </m:r>
                      </m:den>
                    </m:f>
                    <m:r>
                      <a:rPr lang="en-US" sz="1200" b="0" i="1" kern="1200">
                        <a:latin typeface="Cambria Math" panose="02040503050406030204" pitchFamily="18" charset="0"/>
                      </a:rPr>
                      <m:t>(</m:t>
                    </m:r>
                    <m:r>
                      <a:rPr lang="en-US" sz="1200" b="0" i="1" kern="1200">
                        <a:latin typeface="Cambria Math" panose="02040503050406030204" pitchFamily="18" charset="0"/>
                      </a:rPr>
                      <m:t>h</m:t>
                    </m:r>
                    <m:r>
                      <a:rPr lang="en-US" sz="1200" b="0" i="1" kern="1200">
                        <a:latin typeface="Cambria Math" panose="02040503050406030204" pitchFamily="18" charset="0"/>
                      </a:rPr>
                      <m:t>−6)</m:t>
                    </m:r>
                  </m:oMath>
                </m:oMathPara>
              </a14:m>
              <a:endParaRPr lang="en-US" sz="1050" kern="12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2894F47-AED6-4008-873B-1347B5A5086D}"/>
                </a:ext>
              </a:extLst>
            </xdr:cNvPr>
            <xdr:cNvSpPr txBox="1"/>
          </xdr:nvSpPr>
          <xdr:spPr>
            <a:xfrm>
              <a:off x="15634900" y="1880729"/>
              <a:ext cx="1974964" cy="358368"/>
            </a:xfrm>
            <a:prstGeom prst="rect">
              <a:avLst/>
            </a:prstGeom>
            <a:solidFill>
              <a:schemeClr val="accent4">
                <a:lumMod val="60000"/>
                <a:lumOff val="4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200" b="0" i="0" kern="1200">
                  <a:latin typeface="Cambria Math" panose="02040503050406030204" pitchFamily="18" charset="0"/>
                </a:rPr>
                <a:t>𝐾_ℎ=𝐾_6+((𝐾_12−𝐾_6 ))/(12−6)(ℎ−6)</a:t>
              </a:r>
              <a:endParaRPr lang="en-US" sz="1050" kern="1200"/>
            </a:p>
          </xdr:txBody>
        </xdr:sp>
      </mc:Fallback>
    </mc:AlternateContent>
    <xdr:clientData/>
  </xdr:oneCellAnchor>
  <xdr:oneCellAnchor>
    <xdr:from>
      <xdr:col>17</xdr:col>
      <xdr:colOff>174535</xdr:colOff>
      <xdr:row>13</xdr:row>
      <xdr:rowOff>11489</xdr:rowOff>
    </xdr:from>
    <xdr:ext cx="2186624" cy="3571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138F0004-1BBD-45E2-8BE3-343256274D25}"/>
                </a:ext>
              </a:extLst>
            </xdr:cNvPr>
            <xdr:cNvSpPr txBox="1"/>
          </xdr:nvSpPr>
          <xdr:spPr>
            <a:xfrm>
              <a:off x="15626202" y="2535207"/>
              <a:ext cx="2186624" cy="357149"/>
            </a:xfrm>
            <a:prstGeom prst="rect">
              <a:avLst/>
            </a:prstGeom>
            <a:solidFill>
              <a:schemeClr val="accent4">
                <a:lumMod val="60000"/>
                <a:lumOff val="4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2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𝐾</m:t>
                        </m:r>
                      </m:e>
                      <m:sub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h</m:t>
                        </m:r>
                      </m:sub>
                    </m:sSub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𝐾</m:t>
                        </m:r>
                      </m:e>
                      <m:sub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12</m:t>
                        </m:r>
                      </m:sub>
                    </m:sSub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f>
                      <m:fPr>
                        <m:ctrlP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US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n-US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24</m:t>
                                </m:r>
                              </m:sub>
                            </m:sSub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n-US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n-US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12</m:t>
                                </m:r>
                              </m:sub>
                            </m:sSub>
                          </m:e>
                        </m:d>
                      </m:num>
                      <m:den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24−12</m:t>
                        </m:r>
                      </m:den>
                    </m:f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h</m:t>
                    </m:r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−12)</m:t>
                    </m:r>
                  </m:oMath>
                </m:oMathPara>
              </a14:m>
              <a:endParaRPr lang="en-US" sz="1200">
                <a:effectLst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138F0004-1BBD-45E2-8BE3-343256274D25}"/>
                </a:ext>
              </a:extLst>
            </xdr:cNvPr>
            <xdr:cNvSpPr txBox="1"/>
          </xdr:nvSpPr>
          <xdr:spPr>
            <a:xfrm>
              <a:off x="15626202" y="2535207"/>
              <a:ext cx="2186624" cy="357149"/>
            </a:xfrm>
            <a:prstGeom prst="rect">
              <a:avLst/>
            </a:prstGeom>
            <a:solidFill>
              <a:schemeClr val="accent4">
                <a:lumMod val="60000"/>
                <a:lumOff val="4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𝐾_ℎ=𝐾_12+((𝐾_24−𝐾_12 ))/(24−12)(ℎ−12)</a:t>
              </a:r>
              <a:endParaRPr lang="en-US" sz="1200">
                <a:effectLst/>
              </a:endParaRPr>
            </a:p>
          </xdr:txBody>
        </xdr:sp>
      </mc:Fallback>
    </mc:AlternateContent>
    <xdr:clientData/>
  </xdr:oneCellAnchor>
  <xdr:oneCellAnchor>
    <xdr:from>
      <xdr:col>11</xdr:col>
      <xdr:colOff>1359</xdr:colOff>
      <xdr:row>12</xdr:row>
      <xdr:rowOff>183489</xdr:rowOff>
    </xdr:from>
    <xdr:ext cx="1987211" cy="1878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B811CB-7389-4385-BAFF-13B0CA1CA95E}"/>
                </a:ext>
              </a:extLst>
            </xdr:cNvPr>
            <xdr:cNvSpPr txBox="1"/>
          </xdr:nvSpPr>
          <xdr:spPr>
            <a:xfrm>
              <a:off x="9713603" y="2796758"/>
              <a:ext cx="1987211" cy="187872"/>
            </a:xfrm>
            <a:prstGeom prst="rect">
              <a:avLst/>
            </a:prstGeom>
            <a:solidFill>
              <a:schemeClr val="accent4">
                <a:lumMod val="60000"/>
                <a:lumOff val="4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20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200" b="0" i="1" kern="1200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n-US" sz="1200" b="0" i="1" kern="1200">
                            <a:latin typeface="Cambria Math" panose="02040503050406030204" pitchFamily="18" charset="0"/>
                          </a:rPr>
                          <m:t>h</m:t>
                        </m:r>
                      </m:sub>
                    </m:sSub>
                    <m:d>
                      <m:dPr>
                        <m:ctrlPr>
                          <a:rPr lang="en-US" sz="1200" b="0" i="1" kern="1200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200" b="0" i="1" kern="1200">
                            <a:latin typeface="Cambria Math" panose="02040503050406030204" pitchFamily="18" charset="0"/>
                          </a:rPr>
                          <m:t>𝑖𝑛𝑖𝑡𝑖𝑎𝑙</m:t>
                        </m:r>
                      </m:e>
                    </m:d>
                    <m:r>
                      <a:rPr lang="en-US" sz="1200" b="0" i="1" kern="120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2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200" b="0" i="1" kern="1200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US" sz="1200" b="0" i="1" kern="1200">
                            <a:latin typeface="Cambria Math" panose="02040503050406030204" pitchFamily="18" charset="0"/>
                          </a:rPr>
                          <m:t>𝑚𝑎𝑥</m:t>
                        </m:r>
                      </m:sub>
                    </m:sSub>
                    <m:r>
                      <a:rPr lang="en-US" sz="1200" b="0" i="1" kern="1200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200" b="0" i="1" kern="1200">
                        <a:latin typeface="Cambria Math" panose="02040503050406030204" pitchFamily="18" charset="0"/>
                      </a:rPr>
                      <m:t>𝑝</m:t>
                    </m:r>
                    <m:r>
                      <a:rPr lang="en-US" sz="1200" b="0" i="1" kern="120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n-US" sz="1200" b="0" i="1" kern="120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200" b="0" i="1" kern="120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US" sz="1200" b="0" i="1" kern="120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𝑚𝑎𝑥</m:t>
                        </m:r>
                      </m:sub>
                    </m:sSub>
                  </m:oMath>
                </m:oMathPara>
              </a14:m>
              <a:endParaRPr lang="en-US" sz="1200" kern="12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B811CB-7389-4385-BAFF-13B0CA1CA95E}"/>
                </a:ext>
              </a:extLst>
            </xdr:cNvPr>
            <xdr:cNvSpPr txBox="1"/>
          </xdr:nvSpPr>
          <xdr:spPr>
            <a:xfrm>
              <a:off x="9713603" y="2796758"/>
              <a:ext cx="1987211" cy="187872"/>
            </a:xfrm>
            <a:prstGeom prst="rect">
              <a:avLst/>
            </a:prstGeom>
            <a:solidFill>
              <a:schemeClr val="accent4">
                <a:lumMod val="60000"/>
                <a:lumOff val="4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200" b="0" i="0" kern="1200">
                  <a:latin typeface="Cambria Math" panose="02040503050406030204" pitchFamily="18" charset="0"/>
                </a:rPr>
                <a:t>𝐾_ℎ (𝑖𝑛𝑖𝑡𝑖𝑎𝑙)=𝑃_𝑚𝑎𝑥+𝑝</a:t>
              </a:r>
              <a:r>
                <a:rPr lang="en-US" sz="1200" b="0" i="0" kern="1200">
                  <a:latin typeface="Cambria Math" panose="02040503050406030204" pitchFamily="18" charset="0"/>
                  <a:ea typeface="Cambria Math" panose="02040503050406030204" pitchFamily="18" charset="0"/>
                </a:rPr>
                <a:t>∙𝑃_𝑚𝑎𝑥</a:t>
              </a:r>
              <a:endParaRPr lang="en-US" sz="1200" kern="1200"/>
            </a:p>
          </xdr:txBody>
        </xdr:sp>
      </mc:Fallback>
    </mc:AlternateContent>
    <xdr:clientData/>
  </xdr:oneCellAnchor>
  <xdr:oneCellAnchor>
    <xdr:from>
      <xdr:col>18</xdr:col>
      <xdr:colOff>136524</xdr:colOff>
      <xdr:row>0</xdr:row>
      <xdr:rowOff>58041</xdr:rowOff>
    </xdr:from>
    <xdr:ext cx="1316514" cy="1951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2A647BF3-2E35-41E7-B4E9-A52399FE5ACD}"/>
                </a:ext>
              </a:extLst>
            </xdr:cNvPr>
            <xdr:cNvSpPr txBox="1"/>
          </xdr:nvSpPr>
          <xdr:spPr>
            <a:xfrm>
              <a:off x="16451139" y="58041"/>
              <a:ext cx="1316514" cy="195182"/>
            </a:xfrm>
            <a:prstGeom prst="rect">
              <a:avLst/>
            </a:prstGeom>
            <a:solidFill>
              <a:schemeClr val="accent4">
                <a:lumMod val="60000"/>
                <a:lumOff val="4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𝑛𝑒𝑤</m:t>
                        </m:r>
                      </m:sub>
                    </m:sSub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𝑎</m:t>
                    </m:r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sSup>
                      <m:sSupPr>
                        <m:ctrlP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1−</m:t>
                        </m:r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p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𝑏h</m:t>
                        </m:r>
                      </m:sup>
                    </m:sSup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n-US">
                <a:effectLst/>
              </a:endParaRP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2A647BF3-2E35-41E7-B4E9-A52399FE5ACD}"/>
                </a:ext>
              </a:extLst>
            </xdr:cNvPr>
            <xdr:cNvSpPr txBox="1"/>
          </xdr:nvSpPr>
          <xdr:spPr>
            <a:xfrm>
              <a:off x="16451139" y="58041"/>
              <a:ext cx="1316514" cy="195182"/>
            </a:xfrm>
            <a:prstGeom prst="rect">
              <a:avLst/>
            </a:prstGeom>
            <a:solidFill>
              <a:schemeClr val="accent4">
                <a:lumMod val="60000"/>
                <a:lumOff val="4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𝑟_𝑛𝑒𝑤=𝑎(〖1−𝑒〗^(−𝑏ℎ))</a:t>
              </a:r>
              <a:endParaRPr lang="en-US">
                <a:effectLst/>
              </a:endParaRPr>
            </a:p>
          </xdr:txBody>
        </xdr:sp>
      </mc:Fallback>
    </mc:AlternateContent>
    <xdr:clientData/>
  </xdr:oneCellAnchor>
  <xdr:oneCellAnchor>
    <xdr:from>
      <xdr:col>18</xdr:col>
      <xdr:colOff>143585</xdr:colOff>
      <xdr:row>5</xdr:row>
      <xdr:rowOff>68158</xdr:rowOff>
    </xdr:from>
    <xdr:ext cx="1368580" cy="21467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EDDF506A-B34C-4E61-BA23-9EA4CF980A0E}"/>
                </a:ext>
              </a:extLst>
            </xdr:cNvPr>
            <xdr:cNvSpPr txBox="1"/>
          </xdr:nvSpPr>
          <xdr:spPr>
            <a:xfrm>
              <a:off x="16458200" y="1004376"/>
              <a:ext cx="1368580" cy="214674"/>
            </a:xfrm>
            <a:prstGeom prst="rect">
              <a:avLst/>
            </a:prstGeom>
            <a:solidFill>
              <a:schemeClr val="accent4">
                <a:lumMod val="60000"/>
                <a:lumOff val="4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2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e>
                      <m:sub>
                        <m:sSub>
                          <m:sSubPr>
                            <m:ctrlPr>
                              <a:rPr lang="en-US" sz="12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e>
                          <m:sub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𝑛𝑒𝑤</m:t>
                            </m:r>
                          </m:sub>
                        </m:sSub>
                      </m:sub>
                    </m:sSub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𝑐</m:t>
                    </m:r>
                    <m:d>
                      <m:dPr>
                        <m:ctrlP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1−</m:t>
                        </m:r>
                        <m:sSup>
                          <m:sSupPr>
                            <m:ctrlP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𝑑h</m:t>
                            </m:r>
                          </m:sup>
                        </m:sSup>
                      </m:e>
                    </m:d>
                  </m:oMath>
                </m:oMathPara>
              </a14:m>
              <a:endParaRPr lang="en-US" sz="1200" kern="12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EDDF506A-B34C-4E61-BA23-9EA4CF980A0E}"/>
                </a:ext>
              </a:extLst>
            </xdr:cNvPr>
            <xdr:cNvSpPr txBox="1"/>
          </xdr:nvSpPr>
          <xdr:spPr>
            <a:xfrm>
              <a:off x="16458200" y="1004376"/>
              <a:ext cx="1368580" cy="214674"/>
            </a:xfrm>
            <a:prstGeom prst="rect">
              <a:avLst/>
            </a:prstGeom>
            <a:solidFill>
              <a:schemeClr val="accent4">
                <a:lumMod val="60000"/>
                <a:lumOff val="4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𝑡_(0_𝑛𝑒𝑤 )=𝑐(1−𝑒^(−𝑑ℎ) )</a:t>
              </a:r>
              <a:endParaRPr lang="en-US" sz="1200" kern="1200"/>
            </a:p>
          </xdr:txBody>
        </xdr:sp>
      </mc:Fallback>
    </mc:AlternateContent>
    <xdr:clientData/>
  </xdr:oneCellAnchor>
  <xdr:twoCellAnchor>
    <xdr:from>
      <xdr:col>11</xdr:col>
      <xdr:colOff>15119</xdr:colOff>
      <xdr:row>0</xdr:row>
      <xdr:rowOff>45358</xdr:rowOff>
    </xdr:from>
    <xdr:to>
      <xdr:col>12</xdr:col>
      <xdr:colOff>1294423</xdr:colOff>
      <xdr:row>2</xdr:row>
      <xdr:rowOff>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529F2AD6-074B-4E79-AD81-D172C71A240A}"/>
            </a:ext>
          </a:extLst>
        </xdr:cNvPr>
        <xdr:cNvSpPr txBox="1"/>
      </xdr:nvSpPr>
      <xdr:spPr>
        <a:xfrm>
          <a:off x="9727363" y="45358"/>
          <a:ext cx="2353919" cy="32912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250" b="1" kern="1200"/>
            <a:t>Enter Lighting Duration Value </a:t>
          </a:r>
          <a:r>
            <a:rPr lang="en-US" sz="1250" b="1" kern="1200" baseline="0"/>
            <a:t>=&gt;</a:t>
          </a:r>
          <a:endParaRPr lang="en-US" sz="1250" b="1" kern="1200"/>
        </a:p>
      </xdr:txBody>
    </xdr:sp>
    <xdr:clientData/>
  </xdr:twoCellAnchor>
  <xdr:twoCellAnchor>
    <xdr:from>
      <xdr:col>4</xdr:col>
      <xdr:colOff>176770</xdr:colOff>
      <xdr:row>0</xdr:row>
      <xdr:rowOff>44277</xdr:rowOff>
    </xdr:from>
    <xdr:to>
      <xdr:col>10</xdr:col>
      <xdr:colOff>763716</xdr:colOff>
      <xdr:row>21</xdr:row>
      <xdr:rowOff>17162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82B9A100-C2C0-69CE-1F4A-ACD915533D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244474</xdr:colOff>
      <xdr:row>0</xdr:row>
      <xdr:rowOff>82550</xdr:rowOff>
    </xdr:from>
    <xdr:to>
      <xdr:col>14</xdr:col>
      <xdr:colOff>406400</xdr:colOff>
      <xdr:row>17</xdr:row>
      <xdr:rowOff>120650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6C3A535-91A3-545D-DAC9-200596C894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A4D88-BC8F-4CD9-9CC9-3F9A73B806E5}">
  <sheetPr codeName="Sheet1"/>
  <dimension ref="A1:D9"/>
  <sheetViews>
    <sheetView workbookViewId="0">
      <selection activeCell="H5" sqref="H5"/>
    </sheetView>
  </sheetViews>
  <sheetFormatPr defaultRowHeight="14.5" x14ac:dyDescent="0.35"/>
  <cols>
    <col min="2" max="2" width="12.54296875" customWidth="1"/>
    <col min="3" max="3" width="13.26953125" customWidth="1"/>
    <col min="4" max="4" width="13.54296875" customWidth="1"/>
    <col min="8" max="8" width="12.26953125" customWidth="1"/>
    <col min="9" max="9" width="12.54296875" customWidth="1"/>
    <col min="10" max="10" width="12.36328125" customWidth="1"/>
  </cols>
  <sheetData>
    <row r="1" spans="1:4" x14ac:dyDescent="0.35">
      <c r="A1" s="46" t="s">
        <v>51</v>
      </c>
      <c r="B1" s="46" t="s">
        <v>52</v>
      </c>
      <c r="C1" s="46" t="s">
        <v>53</v>
      </c>
      <c r="D1" s="46" t="s">
        <v>54</v>
      </c>
    </row>
    <row r="2" spans="1:4" x14ac:dyDescent="0.35">
      <c r="A2" s="3">
        <v>1</v>
      </c>
      <c r="B2" s="5">
        <v>700000</v>
      </c>
      <c r="C2" s="5">
        <v>700000</v>
      </c>
      <c r="D2" s="5">
        <v>700000</v>
      </c>
    </row>
    <row r="3" spans="1:4" x14ac:dyDescent="0.35">
      <c r="A3" s="3">
        <v>2</v>
      </c>
      <c r="B3" s="5">
        <v>1050000</v>
      </c>
      <c r="C3" s="5">
        <v>1083333.3333333333</v>
      </c>
      <c r="D3" s="5">
        <v>1161111.111111111</v>
      </c>
    </row>
    <row r="4" spans="1:4" x14ac:dyDescent="0.35">
      <c r="A4" s="3">
        <v>3</v>
      </c>
      <c r="B4" s="5">
        <v>1166666.6666666667</v>
      </c>
      <c r="C4" s="5">
        <v>1727777.777777778</v>
      </c>
      <c r="D4" s="5">
        <v>2366666.6666666665</v>
      </c>
    </row>
    <row r="5" spans="1:4" x14ac:dyDescent="0.35">
      <c r="A5" s="3">
        <v>4</v>
      </c>
      <c r="B5" s="5">
        <v>1255555.5555555557</v>
      </c>
      <c r="C5" s="5">
        <v>1916666.6666666667</v>
      </c>
      <c r="D5" s="5">
        <v>3394444.444444444</v>
      </c>
    </row>
    <row r="6" spans="1:4" x14ac:dyDescent="0.35">
      <c r="A6" s="3">
        <v>5</v>
      </c>
      <c r="B6" s="5">
        <v>1483333.3333333333</v>
      </c>
      <c r="C6" s="5">
        <v>2494444.444444444</v>
      </c>
      <c r="D6" s="5">
        <v>4027777.7777777775</v>
      </c>
    </row>
    <row r="7" spans="1:4" x14ac:dyDescent="0.35">
      <c r="A7" s="3">
        <v>6</v>
      </c>
      <c r="B7" s="5">
        <v>1544444.4444444443</v>
      </c>
      <c r="C7" s="5">
        <v>2833333.3333333335</v>
      </c>
      <c r="D7" s="5">
        <v>5119444.444444444</v>
      </c>
    </row>
    <row r="8" spans="1:4" x14ac:dyDescent="0.35">
      <c r="A8" s="3">
        <v>7</v>
      </c>
      <c r="B8" s="5">
        <v>1577777.7777777778</v>
      </c>
      <c r="C8" s="5">
        <v>3133333.3333333335</v>
      </c>
      <c r="D8" s="5">
        <v>5350000</v>
      </c>
    </row>
    <row r="9" spans="1:4" x14ac:dyDescent="0.35">
      <c r="A9" s="3">
        <v>8</v>
      </c>
      <c r="B9" s="5">
        <v>2300000</v>
      </c>
      <c r="C9" s="5">
        <v>4272222.2222222229</v>
      </c>
      <c r="D9" s="5">
        <v>7219444.444444445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75C1C-DD75-4457-937D-B4639DCA3186}">
  <sheetPr codeName="Sheet11"/>
  <dimension ref="A1:Z21"/>
  <sheetViews>
    <sheetView tabSelected="1" topLeftCell="A6" zoomScale="68" zoomScaleNormal="80" workbookViewId="0">
      <selection activeCell="P26" sqref="P26"/>
    </sheetView>
  </sheetViews>
  <sheetFormatPr defaultRowHeight="14.5" x14ac:dyDescent="0.35"/>
  <cols>
    <col min="2" max="2" width="12.6328125" customWidth="1"/>
    <col min="4" max="4" width="15.7265625" customWidth="1"/>
    <col min="6" max="6" width="13" bestFit="1" customWidth="1"/>
    <col min="8" max="8" width="12.36328125" bestFit="1" customWidth="1"/>
    <col min="10" max="10" width="13.08984375" bestFit="1" customWidth="1"/>
    <col min="12" max="12" width="12.453125" style="17" bestFit="1" customWidth="1"/>
    <col min="13" max="13" width="12.453125" bestFit="1" customWidth="1"/>
    <col min="14" max="14" width="13" style="9" bestFit="1" customWidth="1"/>
    <col min="15" max="15" width="2.81640625" customWidth="1"/>
    <col min="16" max="16" width="12.26953125" bestFit="1" customWidth="1"/>
    <col min="19" max="19" width="11.453125" bestFit="1" customWidth="1"/>
    <col min="21" max="21" width="10.453125" bestFit="1" customWidth="1"/>
  </cols>
  <sheetData>
    <row r="1" spans="1:26" x14ac:dyDescent="0.35">
      <c r="A1" s="7" t="s">
        <v>51</v>
      </c>
      <c r="B1" s="7" t="s">
        <v>55</v>
      </c>
      <c r="C1" s="7" t="s">
        <v>7</v>
      </c>
      <c r="D1" s="7" t="s">
        <v>56</v>
      </c>
      <c r="E1" s="7" t="s">
        <v>8</v>
      </c>
      <c r="F1" s="7" t="s">
        <v>9</v>
      </c>
      <c r="H1" s="7" t="s">
        <v>6</v>
      </c>
      <c r="I1" s="4" t="s">
        <v>35</v>
      </c>
      <c r="J1" s="7" t="s">
        <v>24</v>
      </c>
      <c r="L1" s="14">
        <f>COUNT(C2:C9)</f>
        <v>8</v>
      </c>
      <c r="M1" s="14">
        <f>C10</f>
        <v>28</v>
      </c>
      <c r="N1" s="18" t="s">
        <v>10</v>
      </c>
      <c r="O1" s="6" t="s">
        <v>12</v>
      </c>
      <c r="P1" s="15">
        <f>D10</f>
        <v>-2.1304976236837359</v>
      </c>
      <c r="X1" s="17"/>
      <c r="Z1" s="9"/>
    </row>
    <row r="2" spans="1:26" x14ac:dyDescent="0.35">
      <c r="A2" s="1">
        <v>1</v>
      </c>
      <c r="B2" s="1">
        <v>700000</v>
      </c>
      <c r="C2" s="1">
        <v>0</v>
      </c>
      <c r="D2" s="10">
        <f t="shared" ref="D2:D9" si="0">LN((H$2/B2)-1)</f>
        <v>0.960990910792062</v>
      </c>
      <c r="E2" s="1">
        <f>C2^2</f>
        <v>0</v>
      </c>
      <c r="F2" s="1">
        <f>C2*D2</f>
        <v>0</v>
      </c>
      <c r="H2" s="8">
        <f>B9+I2*B9</f>
        <v>2530000</v>
      </c>
      <c r="I2" s="30">
        <v>0.1</v>
      </c>
      <c r="J2" s="16">
        <f>C2-H$11</f>
        <v>-2.7355918294587909</v>
      </c>
      <c r="L2" s="14">
        <f>C10</f>
        <v>28</v>
      </c>
      <c r="M2" s="14">
        <f>E10</f>
        <v>140</v>
      </c>
      <c r="N2" s="18" t="s">
        <v>11</v>
      </c>
      <c r="O2" s="6" t="s">
        <v>12</v>
      </c>
      <c r="P2" s="15">
        <f>F10</f>
        <v>-22.089123904056983</v>
      </c>
    </row>
    <row r="3" spans="1:26" x14ac:dyDescent="0.35">
      <c r="A3" s="1">
        <v>2</v>
      </c>
      <c r="B3" s="1">
        <v>1050000</v>
      </c>
      <c r="C3" s="1">
        <v>1</v>
      </c>
      <c r="D3" s="10">
        <f t="shared" si="0"/>
        <v>0.34325192360659162</v>
      </c>
      <c r="E3" s="1">
        <f t="shared" ref="E3:E9" si="1">C3^2</f>
        <v>1</v>
      </c>
      <c r="F3" s="10">
        <f t="shared" ref="F3:F9" si="2">C3*D3</f>
        <v>0.34325192360659162</v>
      </c>
      <c r="J3" s="16">
        <f t="shared" ref="J3:J9" si="3">C3-H$11</f>
        <v>-1.7355918294587909</v>
      </c>
      <c r="L3"/>
      <c r="N3" s="17"/>
      <c r="P3" s="9"/>
    </row>
    <row r="4" spans="1:26" x14ac:dyDescent="0.35">
      <c r="A4" s="1">
        <v>3</v>
      </c>
      <c r="B4" s="1">
        <v>1166666.6666666667</v>
      </c>
      <c r="C4" s="1">
        <v>2</v>
      </c>
      <c r="D4" s="10">
        <f t="shared" si="0"/>
        <v>0.15578200155934241</v>
      </c>
      <c r="E4" s="1">
        <f t="shared" si="1"/>
        <v>4</v>
      </c>
      <c r="F4" s="10">
        <f t="shared" si="2"/>
        <v>0.31156400311868482</v>
      </c>
      <c r="H4" s="4" t="s">
        <v>28</v>
      </c>
      <c r="J4" s="16">
        <f t="shared" si="3"/>
        <v>-0.73559182945879087</v>
      </c>
      <c r="L4" s="43" t="s">
        <v>13</v>
      </c>
      <c r="M4" s="43"/>
      <c r="N4" s="17"/>
      <c r="P4" s="9"/>
    </row>
    <row r="5" spans="1:26" x14ac:dyDescent="0.35">
      <c r="A5" s="1">
        <v>4</v>
      </c>
      <c r="B5" s="1">
        <v>1255555.5555555557</v>
      </c>
      <c r="C5" s="1">
        <v>3</v>
      </c>
      <c r="D5" s="10">
        <f t="shared" si="0"/>
        <v>1.4932205422984308E-2</v>
      </c>
      <c r="E5" s="1">
        <f t="shared" si="1"/>
        <v>9</v>
      </c>
      <c r="F5" s="10">
        <f t="shared" si="2"/>
        <v>4.4796616268952927E-2</v>
      </c>
      <c r="H5" s="16">
        <f>EXP(P8)</f>
        <v>2.5936158473003879</v>
      </c>
      <c r="J5" s="16">
        <f t="shared" si="3"/>
        <v>0.26440817054120913</v>
      </c>
      <c r="L5" s="3">
        <f t="array" ref="L5:M6">MINVERSE(L1:M2)</f>
        <v>0.41666666666666663</v>
      </c>
      <c r="M5" s="3">
        <v>-8.3333333333333329E-2</v>
      </c>
      <c r="N5" s="17"/>
      <c r="P5" s="9"/>
    </row>
    <row r="6" spans="1:26" x14ac:dyDescent="0.35">
      <c r="A6" s="1">
        <v>5</v>
      </c>
      <c r="B6" s="1">
        <v>1483333.3333333333</v>
      </c>
      <c r="C6" s="1">
        <v>4</v>
      </c>
      <c r="D6" s="10">
        <f t="shared" si="0"/>
        <v>-0.34868129625798672</v>
      </c>
      <c r="E6" s="1">
        <f t="shared" si="1"/>
        <v>16</v>
      </c>
      <c r="F6" s="10">
        <f t="shared" si="2"/>
        <v>-1.3947251850319469</v>
      </c>
      <c r="J6" s="16">
        <f t="shared" si="3"/>
        <v>1.2644081705412091</v>
      </c>
      <c r="L6" s="3">
        <v>-8.3333333333333329E-2</v>
      </c>
      <c r="M6" s="3">
        <v>2.3809523809523808E-2</v>
      </c>
      <c r="N6" s="17"/>
      <c r="P6" s="9"/>
    </row>
    <row r="7" spans="1:26" x14ac:dyDescent="0.35">
      <c r="A7" s="1">
        <v>6</v>
      </c>
      <c r="B7" s="1">
        <v>1544444.4444444443</v>
      </c>
      <c r="C7" s="1">
        <v>5</v>
      </c>
      <c r="D7" s="10">
        <f t="shared" si="0"/>
        <v>-0.44921404381515767</v>
      </c>
      <c r="E7" s="1">
        <f t="shared" si="1"/>
        <v>25</v>
      </c>
      <c r="F7" s="10">
        <f t="shared" si="2"/>
        <v>-2.2460702190757882</v>
      </c>
      <c r="H7" s="4" t="s">
        <v>5</v>
      </c>
      <c r="J7" s="16">
        <f t="shared" si="3"/>
        <v>2.2644081705412091</v>
      </c>
      <c r="L7"/>
      <c r="N7" s="17"/>
      <c r="P7" s="9"/>
    </row>
    <row r="8" spans="1:26" x14ac:dyDescent="0.35">
      <c r="A8" s="1">
        <v>7</v>
      </c>
      <c r="B8" s="1">
        <v>1577777.7777777778</v>
      </c>
      <c r="C8" s="1">
        <v>6</v>
      </c>
      <c r="D8" s="10">
        <f t="shared" si="0"/>
        <v>-0.50497423199752667</v>
      </c>
      <c r="E8" s="1">
        <f t="shared" si="1"/>
        <v>36</v>
      </c>
      <c r="F8" s="10">
        <f t="shared" si="2"/>
        <v>-3.0298453919851598</v>
      </c>
      <c r="H8" s="16">
        <f>-(P9)</f>
        <v>0.34839005288485492</v>
      </c>
      <c r="J8" s="16">
        <f t="shared" si="3"/>
        <v>3.2644081705412091</v>
      </c>
      <c r="L8"/>
      <c r="N8" s="18" t="s">
        <v>10</v>
      </c>
      <c r="O8" s="6" t="s">
        <v>12</v>
      </c>
      <c r="P8" s="16">
        <f t="array" ref="P8:P9">MMULT(L5:M6,P1:P2)</f>
        <v>0.95305298213652523</v>
      </c>
    </row>
    <row r="9" spans="1:26" x14ac:dyDescent="0.35">
      <c r="A9" s="1">
        <v>8</v>
      </c>
      <c r="B9" s="1">
        <v>2300000</v>
      </c>
      <c r="C9" s="1">
        <v>7</v>
      </c>
      <c r="D9" s="10">
        <f t="shared" si="0"/>
        <v>-2.302585092994045</v>
      </c>
      <c r="E9" s="1">
        <f t="shared" si="1"/>
        <v>49</v>
      </c>
      <c r="F9" s="10">
        <f t="shared" si="2"/>
        <v>-16.118095650958317</v>
      </c>
      <c r="J9" s="16">
        <f t="shared" si="3"/>
        <v>4.2644081705412091</v>
      </c>
      <c r="L9"/>
      <c r="N9" s="18" t="s">
        <v>11</v>
      </c>
      <c r="O9" s="6" t="s">
        <v>12</v>
      </c>
      <c r="P9" s="16">
        <v>-0.34839005288485492</v>
      </c>
    </row>
    <row r="10" spans="1:26" x14ac:dyDescent="0.35">
      <c r="A10" s="38"/>
      <c r="B10" s="38"/>
      <c r="C10" s="13">
        <f>SUM(C2:C9)</f>
        <v>28</v>
      </c>
      <c r="D10" s="12">
        <f>SUM(D2:D9)</f>
        <v>-2.1304976236837359</v>
      </c>
      <c r="E10" s="13">
        <f>SUM(E2:E9)</f>
        <v>140</v>
      </c>
      <c r="F10" s="12">
        <f>SUM(F2:F9)</f>
        <v>-22.089123904056983</v>
      </c>
      <c r="H10" s="4" t="s">
        <v>20</v>
      </c>
    </row>
    <row r="11" spans="1:26" x14ac:dyDescent="0.35">
      <c r="H11" s="3">
        <f>LN(H5)/H8</f>
        <v>2.7355918294587909</v>
      </c>
      <c r="X11" s="17"/>
      <c r="Z11" s="9"/>
    </row>
    <row r="13" spans="1:26" x14ac:dyDescent="0.35">
      <c r="A13" s="7" t="s">
        <v>7</v>
      </c>
      <c r="B13" s="7" t="s">
        <v>57</v>
      </c>
      <c r="C13" s="4" t="s">
        <v>15</v>
      </c>
      <c r="D13" s="4" t="s">
        <v>36</v>
      </c>
    </row>
    <row r="14" spans="1:26" x14ac:dyDescent="0.35">
      <c r="A14" s="1">
        <v>0</v>
      </c>
      <c r="B14" s="8">
        <f t="shared" ref="B14:B21" si="4">H$2/(1+(EXP(-(H$8*J2))))</f>
        <v>704026.2809116334</v>
      </c>
      <c r="C14" s="5">
        <f t="shared" ref="C14:C21" si="5">ABS((B2-B14)/B2)*100</f>
        <v>0.57518298737619933</v>
      </c>
      <c r="D14" s="5">
        <f>SUM(C14:C21)/8</f>
        <v>9.2940992229347614</v>
      </c>
    </row>
    <row r="15" spans="1:26" x14ac:dyDescent="0.35">
      <c r="A15" s="1">
        <v>1</v>
      </c>
      <c r="B15" s="8">
        <f t="shared" si="4"/>
        <v>893792.3660598835</v>
      </c>
      <c r="C15" s="5">
        <f t="shared" si="5"/>
        <v>14.876917518106334</v>
      </c>
    </row>
    <row r="16" spans="1:26" x14ac:dyDescent="0.35">
      <c r="A16" s="1">
        <v>2</v>
      </c>
      <c r="B16" s="8">
        <f t="shared" si="4"/>
        <v>1103788.7477604977</v>
      </c>
      <c r="C16" s="5">
        <f t="shared" si="5"/>
        <v>5.3895359062430579</v>
      </c>
    </row>
    <row r="17" spans="1:3" x14ac:dyDescent="0.35">
      <c r="A17" s="1">
        <v>3</v>
      </c>
      <c r="B17" s="8">
        <f t="shared" si="4"/>
        <v>1323222.9487065177</v>
      </c>
      <c r="C17" s="5">
        <f t="shared" si="5"/>
        <v>5.3894383925544913</v>
      </c>
    </row>
    <row r="18" spans="1:3" x14ac:dyDescent="0.35">
      <c r="A18" s="1">
        <v>4</v>
      </c>
      <c r="B18" s="8">
        <f t="shared" si="4"/>
        <v>1539201.1134030791</v>
      </c>
      <c r="C18" s="5">
        <f t="shared" si="5"/>
        <v>3.7663671957132028</v>
      </c>
    </row>
    <row r="19" spans="1:3" x14ac:dyDescent="0.35">
      <c r="A19" s="1">
        <v>5</v>
      </c>
      <c r="B19" s="8">
        <f t="shared" si="4"/>
        <v>1739614.1018973789</v>
      </c>
      <c r="C19" s="5">
        <f t="shared" si="5"/>
        <v>12.636884295513756</v>
      </c>
    </row>
    <row r="20" spans="1:3" x14ac:dyDescent="0.35">
      <c r="A20" s="1">
        <v>6</v>
      </c>
      <c r="B20" s="8">
        <f t="shared" si="4"/>
        <v>1915668.543280768</v>
      </c>
      <c r="C20" s="5">
        <f t="shared" si="5"/>
        <v>21.415611898076843</v>
      </c>
    </row>
    <row r="21" spans="1:3" x14ac:dyDescent="0.35">
      <c r="A21" s="1">
        <v>7</v>
      </c>
      <c r="B21" s="8">
        <f t="shared" si="4"/>
        <v>2063034.3214324333</v>
      </c>
      <c r="C21" s="5">
        <f t="shared" si="5"/>
        <v>10.302855589894204</v>
      </c>
    </row>
  </sheetData>
  <mergeCells count="1">
    <mergeCell ref="L4:M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B30B1-1E0A-4C5D-8523-F9C8B02FFDA5}">
  <sheetPr codeName="Sheet8"/>
  <dimension ref="A1:Z21"/>
  <sheetViews>
    <sheetView zoomScale="70" zoomScaleNormal="80" workbookViewId="0">
      <selection activeCell="K32" sqref="K32"/>
    </sheetView>
  </sheetViews>
  <sheetFormatPr defaultRowHeight="14.5" x14ac:dyDescent="0.35"/>
  <cols>
    <col min="2" max="2" width="12.6328125" customWidth="1"/>
    <col min="4" max="4" width="15.7265625" customWidth="1"/>
    <col min="6" max="6" width="13" bestFit="1" customWidth="1"/>
    <col min="8" max="8" width="12.36328125" bestFit="1" customWidth="1"/>
    <col min="10" max="10" width="13.08984375" bestFit="1" customWidth="1"/>
    <col min="12" max="12" width="12.453125" style="17" bestFit="1" customWidth="1"/>
    <col min="13" max="13" width="12.453125" bestFit="1" customWidth="1"/>
    <col min="14" max="14" width="13" style="9" bestFit="1" customWidth="1"/>
    <col min="15" max="15" width="2.81640625" customWidth="1"/>
    <col min="16" max="16" width="12" bestFit="1" customWidth="1"/>
    <col min="19" max="19" width="12.1796875" customWidth="1"/>
    <col min="21" max="21" width="10.36328125" bestFit="1" customWidth="1"/>
  </cols>
  <sheetData>
    <row r="1" spans="1:26" x14ac:dyDescent="0.35">
      <c r="A1" s="7" t="s">
        <v>51</v>
      </c>
      <c r="B1" s="7" t="s">
        <v>55</v>
      </c>
      <c r="C1" s="7" t="s">
        <v>7</v>
      </c>
      <c r="D1" s="7" t="s">
        <v>56</v>
      </c>
      <c r="E1" s="7" t="s">
        <v>8</v>
      </c>
      <c r="F1" s="7" t="s">
        <v>9</v>
      </c>
      <c r="H1" s="7" t="s">
        <v>6</v>
      </c>
      <c r="I1" s="4" t="s">
        <v>35</v>
      </c>
      <c r="J1" s="7" t="s">
        <v>24</v>
      </c>
      <c r="L1" s="14">
        <f>COUNT(C2:C9)</f>
        <v>8</v>
      </c>
      <c r="M1" s="14">
        <f>C10</f>
        <v>28</v>
      </c>
      <c r="N1" s="18" t="s">
        <v>10</v>
      </c>
      <c r="O1" s="6" t="s">
        <v>12</v>
      </c>
      <c r="P1" s="15">
        <f>D10</f>
        <v>0.32631312980315874</v>
      </c>
      <c r="X1" s="17"/>
      <c r="Z1" s="9"/>
    </row>
    <row r="2" spans="1:26" x14ac:dyDescent="0.35">
      <c r="A2" s="1">
        <v>1</v>
      </c>
      <c r="B2" s="1">
        <v>700000</v>
      </c>
      <c r="C2" s="1">
        <v>0</v>
      </c>
      <c r="D2" s="10">
        <f t="shared" ref="D2:D9" si="0">LN((H$2/B2)-1)</f>
        <v>1.7428304065237794</v>
      </c>
      <c r="E2" s="1">
        <f>C2^2</f>
        <v>0</v>
      </c>
      <c r="F2" s="1">
        <f>C2*D2</f>
        <v>0</v>
      </c>
      <c r="H2" s="8">
        <f>B9+I2*B9</f>
        <v>4699444.444444445</v>
      </c>
      <c r="I2" s="30">
        <v>0.1</v>
      </c>
      <c r="J2" s="16">
        <f>C2-H$11</f>
        <v>-3.5831864487076905</v>
      </c>
      <c r="L2" s="14">
        <f>C10</f>
        <v>28</v>
      </c>
      <c r="M2" s="14">
        <f>E10</f>
        <v>140</v>
      </c>
      <c r="N2" s="18" t="s">
        <v>11</v>
      </c>
      <c r="O2" s="6" t="s">
        <v>12</v>
      </c>
      <c r="P2" s="15">
        <f>F10</f>
        <v>-19.451930573812668</v>
      </c>
    </row>
    <row r="3" spans="1:26" x14ac:dyDescent="0.35">
      <c r="A3" s="1">
        <v>2</v>
      </c>
      <c r="B3" s="1">
        <v>1083333.3333333333</v>
      </c>
      <c r="C3" s="1">
        <v>1</v>
      </c>
      <c r="D3" s="10">
        <f t="shared" si="0"/>
        <v>1.2053564620145951</v>
      </c>
      <c r="E3" s="1">
        <f t="shared" ref="E3:E9" si="1">C3^2</f>
        <v>1</v>
      </c>
      <c r="F3" s="10">
        <f t="shared" ref="F3:F9" si="2">C3*D3</f>
        <v>1.2053564620145951</v>
      </c>
      <c r="J3" s="16">
        <f t="shared" ref="J3:J9" si="3">C3-H$11</f>
        <v>-2.5831864487076905</v>
      </c>
      <c r="L3"/>
      <c r="N3" s="17"/>
      <c r="P3" s="9"/>
    </row>
    <row r="4" spans="1:26" x14ac:dyDescent="0.35">
      <c r="A4" s="1">
        <v>3</v>
      </c>
      <c r="B4" s="1">
        <v>1727777.777777778</v>
      </c>
      <c r="C4" s="1">
        <v>2</v>
      </c>
      <c r="D4" s="10">
        <f t="shared" si="0"/>
        <v>0.5422869013579702</v>
      </c>
      <c r="E4" s="1">
        <f t="shared" si="1"/>
        <v>4</v>
      </c>
      <c r="F4" s="10">
        <f t="shared" si="2"/>
        <v>1.0845738027159404</v>
      </c>
      <c r="H4" s="4" t="s">
        <v>28</v>
      </c>
      <c r="J4" s="16">
        <f t="shared" si="3"/>
        <v>-1.5831864487076905</v>
      </c>
      <c r="L4" s="43" t="s">
        <v>13</v>
      </c>
      <c r="M4" s="43"/>
      <c r="N4" s="17"/>
      <c r="P4" s="9"/>
    </row>
    <row r="5" spans="1:26" x14ac:dyDescent="0.35">
      <c r="A5" s="1">
        <v>4</v>
      </c>
      <c r="B5" s="1">
        <v>1916666.6666666667</v>
      </c>
      <c r="C5" s="1">
        <v>3</v>
      </c>
      <c r="D5" s="10">
        <f t="shared" si="0"/>
        <v>0.37286206333221161</v>
      </c>
      <c r="E5" s="1">
        <f t="shared" si="1"/>
        <v>9</v>
      </c>
      <c r="F5" s="10">
        <f t="shared" si="2"/>
        <v>1.1185861899966349</v>
      </c>
      <c r="H5" s="16">
        <f>EXP(P8)</f>
        <v>5.7947829336650738</v>
      </c>
      <c r="J5" s="16">
        <f t="shared" si="3"/>
        <v>-0.58318644870769054</v>
      </c>
      <c r="L5" s="3">
        <f t="array" ref="L5:M6">MINVERSE(L1:M2)</f>
        <v>0.41666666666666663</v>
      </c>
      <c r="M5" s="3">
        <v>-8.3333333333333329E-2</v>
      </c>
      <c r="N5" s="17"/>
      <c r="P5" s="9"/>
    </row>
    <row r="6" spans="1:26" x14ac:dyDescent="0.35">
      <c r="A6" s="1">
        <v>5</v>
      </c>
      <c r="B6" s="1">
        <v>2494444.444444444</v>
      </c>
      <c r="C6" s="1">
        <v>4</v>
      </c>
      <c r="D6" s="10">
        <f t="shared" si="0"/>
        <v>-0.12333852795323393</v>
      </c>
      <c r="E6" s="1">
        <f t="shared" si="1"/>
        <v>16</v>
      </c>
      <c r="F6" s="10">
        <f t="shared" si="2"/>
        <v>-0.4933541118129357</v>
      </c>
      <c r="J6" s="16">
        <f t="shared" si="3"/>
        <v>0.41681355129230946</v>
      </c>
      <c r="L6" s="3">
        <v>-8.3333333333333329E-2</v>
      </c>
      <c r="M6" s="3">
        <v>2.3809523809523808E-2</v>
      </c>
      <c r="N6" s="17"/>
      <c r="P6" s="9"/>
    </row>
    <row r="7" spans="1:26" x14ac:dyDescent="0.35">
      <c r="A7" s="1">
        <v>6</v>
      </c>
      <c r="B7" s="1">
        <v>2833333.3333333335</v>
      </c>
      <c r="C7" s="1">
        <v>5</v>
      </c>
      <c r="D7" s="10">
        <f t="shared" si="0"/>
        <v>-0.41759722910012431</v>
      </c>
      <c r="E7" s="1">
        <f t="shared" si="1"/>
        <v>25</v>
      </c>
      <c r="F7" s="10">
        <f t="shared" si="2"/>
        <v>-2.0879861455006217</v>
      </c>
      <c r="H7" s="4" t="s">
        <v>5</v>
      </c>
      <c r="J7" s="16">
        <f t="shared" si="3"/>
        <v>1.4168135512923095</v>
      </c>
      <c r="L7"/>
      <c r="N7" s="17"/>
      <c r="P7" s="9"/>
    </row>
    <row r="8" spans="1:26" x14ac:dyDescent="0.35">
      <c r="A8" s="1">
        <v>7</v>
      </c>
      <c r="B8" s="1">
        <v>3133333.3333333335</v>
      </c>
      <c r="C8" s="1">
        <v>6</v>
      </c>
      <c r="D8" s="10">
        <f t="shared" si="0"/>
        <v>-0.69350185337799164</v>
      </c>
      <c r="E8" s="1">
        <f t="shared" si="1"/>
        <v>36</v>
      </c>
      <c r="F8" s="10">
        <f t="shared" si="2"/>
        <v>-4.1610111202679496</v>
      </c>
      <c r="H8" s="16">
        <f>-(P9)</f>
        <v>0.49033396495532672</v>
      </c>
      <c r="J8" s="16">
        <f t="shared" si="3"/>
        <v>2.4168135512923095</v>
      </c>
      <c r="L8"/>
      <c r="N8" s="18" t="s">
        <v>10</v>
      </c>
      <c r="O8" s="6" t="s">
        <v>12</v>
      </c>
      <c r="P8" s="16">
        <f t="array" ref="P8:P9">MMULT(L5:M6,P1:P2)</f>
        <v>1.7569580185690383</v>
      </c>
    </row>
    <row r="9" spans="1:26" x14ac:dyDescent="0.35">
      <c r="A9" s="1">
        <v>8</v>
      </c>
      <c r="B9" s="1">
        <v>4272222.2222222229</v>
      </c>
      <c r="C9" s="1">
        <v>7</v>
      </c>
      <c r="D9" s="10">
        <f t="shared" si="0"/>
        <v>-2.3025850929940472</v>
      </c>
      <c r="E9" s="1">
        <f t="shared" si="1"/>
        <v>49</v>
      </c>
      <c r="F9" s="10">
        <f t="shared" si="2"/>
        <v>-16.118095650958331</v>
      </c>
      <c r="J9" s="16">
        <f t="shared" si="3"/>
        <v>3.4168135512923095</v>
      </c>
      <c r="L9"/>
      <c r="N9" s="18" t="s">
        <v>11</v>
      </c>
      <c r="O9" s="6" t="s">
        <v>12</v>
      </c>
      <c r="P9" s="16">
        <v>-0.49033396495532672</v>
      </c>
    </row>
    <row r="10" spans="1:26" x14ac:dyDescent="0.35">
      <c r="A10" s="36"/>
      <c r="B10" s="37"/>
      <c r="C10" s="11">
        <f>SUM(C2:C9)</f>
        <v>28</v>
      </c>
      <c r="D10" s="12">
        <f>SUM(D2:D9)</f>
        <v>0.32631312980315874</v>
      </c>
      <c r="E10" s="13">
        <f>SUM(E2:E9)</f>
        <v>140</v>
      </c>
      <c r="F10" s="12">
        <f>SUM(F2:F9)</f>
        <v>-19.451930573812668</v>
      </c>
      <c r="H10" s="4" t="s">
        <v>20</v>
      </c>
    </row>
    <row r="11" spans="1:26" x14ac:dyDescent="0.35">
      <c r="H11" s="3">
        <f>LN(H5)/H8</f>
        <v>3.5831864487076905</v>
      </c>
      <c r="X11" s="17"/>
      <c r="Z11" s="9"/>
    </row>
    <row r="13" spans="1:26" x14ac:dyDescent="0.35">
      <c r="A13" s="7" t="s">
        <v>7</v>
      </c>
      <c r="B13" s="7" t="s">
        <v>57</v>
      </c>
      <c r="C13" s="4" t="s">
        <v>15</v>
      </c>
      <c r="D13" s="4" t="s">
        <v>36</v>
      </c>
    </row>
    <row r="14" spans="1:26" x14ac:dyDescent="0.35">
      <c r="A14" s="1">
        <v>0</v>
      </c>
      <c r="B14" s="8">
        <f t="shared" ref="B14:B21" si="4">H$2/(1+(EXP(-(H$8*J2))))</f>
        <v>691625.39706174051</v>
      </c>
      <c r="C14" s="5">
        <f t="shared" ref="C14:C21" si="5">ABS((B2-B14)/B2)*100</f>
        <v>1.1963718483227839</v>
      </c>
      <c r="D14" s="16">
        <f>SUM(C14:C21)/8</f>
        <v>7.7428292934538385</v>
      </c>
    </row>
    <row r="15" spans="1:26" x14ac:dyDescent="0.35">
      <c r="A15" s="1">
        <v>1</v>
      </c>
      <c r="B15" s="8">
        <f t="shared" si="4"/>
        <v>1033105.6878705302</v>
      </c>
      <c r="C15" s="5">
        <f t="shared" si="5"/>
        <v>4.636398042720284</v>
      </c>
    </row>
    <row r="16" spans="1:26" x14ac:dyDescent="0.35">
      <c r="A16" s="1">
        <v>2</v>
      </c>
      <c r="B16" s="8">
        <f t="shared" si="4"/>
        <v>1480888.9669177695</v>
      </c>
      <c r="C16" s="5">
        <f t="shared" si="5"/>
        <v>14.289384551383124</v>
      </c>
    </row>
    <row r="17" spans="1:3" x14ac:dyDescent="0.35">
      <c r="A17" s="1">
        <v>3</v>
      </c>
      <c r="B17" s="8">
        <f t="shared" si="4"/>
        <v>2016034.2308783105</v>
      </c>
      <c r="C17" s="5">
        <f t="shared" si="5"/>
        <v>5.1843946545205437</v>
      </c>
    </row>
    <row r="18" spans="1:3" x14ac:dyDescent="0.35">
      <c r="A18" s="1">
        <v>4</v>
      </c>
      <c r="B18" s="8">
        <f t="shared" si="4"/>
        <v>2589005.4680354311</v>
      </c>
      <c r="C18" s="5">
        <f t="shared" si="5"/>
        <v>3.7908650882801065</v>
      </c>
    </row>
    <row r="19" spans="1:3" x14ac:dyDescent="0.35">
      <c r="A19" s="1">
        <v>5</v>
      </c>
      <c r="B19" s="8">
        <f t="shared" si="4"/>
        <v>3134596.5080502857</v>
      </c>
      <c r="C19" s="5">
        <f t="shared" si="5"/>
        <v>10.632817931186549</v>
      </c>
    </row>
    <row r="20" spans="1:3" x14ac:dyDescent="0.35">
      <c r="A20" s="1">
        <v>6</v>
      </c>
      <c r="B20" s="8">
        <f t="shared" si="4"/>
        <v>3599087.5439637359</v>
      </c>
      <c r="C20" s="5">
        <f t="shared" si="5"/>
        <v>14.864496083949014</v>
      </c>
    </row>
    <row r="21" spans="1:3" x14ac:dyDescent="0.35">
      <c r="A21" s="1">
        <v>7</v>
      </c>
      <c r="B21" s="8">
        <f t="shared" si="4"/>
        <v>3958303.342930594</v>
      </c>
      <c r="C21" s="5">
        <f t="shared" si="5"/>
        <v>7.3479061472682972</v>
      </c>
    </row>
  </sheetData>
  <mergeCells count="1">
    <mergeCell ref="L4:M4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0917E-BED5-44BF-9FBD-4D7CB2527505}">
  <sheetPr codeName="Sheet5"/>
  <dimension ref="A1:Z21"/>
  <sheetViews>
    <sheetView topLeftCell="A8" zoomScale="67" zoomScaleNormal="80" workbookViewId="0">
      <selection activeCell="P22" sqref="P22"/>
    </sheetView>
  </sheetViews>
  <sheetFormatPr defaultRowHeight="14.5" x14ac:dyDescent="0.35"/>
  <cols>
    <col min="2" max="2" width="12.6328125" customWidth="1"/>
    <col min="4" max="4" width="15.7265625" customWidth="1"/>
    <col min="6" max="6" width="13" bestFit="1" customWidth="1"/>
    <col min="8" max="8" width="12.36328125" bestFit="1" customWidth="1"/>
    <col min="10" max="10" width="13.08984375" bestFit="1" customWidth="1"/>
    <col min="12" max="12" width="12.453125" style="17" bestFit="1" customWidth="1"/>
    <col min="13" max="13" width="12.453125" bestFit="1" customWidth="1"/>
    <col min="14" max="14" width="13" style="9" bestFit="1" customWidth="1"/>
    <col min="15" max="15" width="2.81640625" customWidth="1"/>
    <col min="16" max="16" width="12.6328125" bestFit="1" customWidth="1"/>
    <col min="19" max="19" width="12.26953125" bestFit="1" customWidth="1"/>
    <col min="21" max="21" width="11.1796875" bestFit="1" customWidth="1"/>
  </cols>
  <sheetData>
    <row r="1" spans="1:26" x14ac:dyDescent="0.35">
      <c r="A1" s="7" t="s">
        <v>51</v>
      </c>
      <c r="B1" s="7" t="s">
        <v>55</v>
      </c>
      <c r="C1" s="7" t="s">
        <v>7</v>
      </c>
      <c r="D1" s="7" t="s">
        <v>56</v>
      </c>
      <c r="E1" s="7" t="s">
        <v>8</v>
      </c>
      <c r="F1" s="7" t="s">
        <v>9</v>
      </c>
      <c r="H1" s="7" t="s">
        <v>6</v>
      </c>
      <c r="I1" s="4" t="s">
        <v>35</v>
      </c>
      <c r="J1" s="7" t="s">
        <v>24</v>
      </c>
      <c r="L1" s="14">
        <f>COUNT(C2:C9)</f>
        <v>8</v>
      </c>
      <c r="M1" s="14">
        <f>C10</f>
        <v>28</v>
      </c>
      <c r="N1" s="18" t="s">
        <v>10</v>
      </c>
      <c r="O1" s="6" t="s">
        <v>12</v>
      </c>
      <c r="P1" s="15">
        <f>D10</f>
        <v>1.5983422518535169</v>
      </c>
      <c r="X1" s="17"/>
      <c r="Z1" s="9"/>
    </row>
    <row r="2" spans="1:26" x14ac:dyDescent="0.35">
      <c r="A2" s="1">
        <v>1</v>
      </c>
      <c r="B2" s="8">
        <v>700000</v>
      </c>
      <c r="C2" s="1">
        <v>0</v>
      </c>
      <c r="D2" s="10">
        <f t="shared" ref="D2:D9" si="0">LN((H$2/B2)-1)</f>
        <v>2.3364879674201751</v>
      </c>
      <c r="E2" s="1">
        <f>C2^2</f>
        <v>0</v>
      </c>
      <c r="F2" s="1">
        <f>C2*D2</f>
        <v>0</v>
      </c>
      <c r="H2" s="8">
        <f>B9+I2*B9</f>
        <v>7941388.8888888899</v>
      </c>
      <c r="I2" s="30">
        <v>0.1</v>
      </c>
      <c r="J2" s="16">
        <f>C2-H$11</f>
        <v>-3.8383625864074382</v>
      </c>
      <c r="L2" s="14">
        <f>C10</f>
        <v>28</v>
      </c>
      <c r="M2" s="14">
        <f>E10</f>
        <v>140</v>
      </c>
      <c r="N2" s="18" t="s">
        <v>11</v>
      </c>
      <c r="O2" s="6" t="s">
        <v>12</v>
      </c>
      <c r="P2" s="15">
        <f>F10</f>
        <v>-19.205520406889306</v>
      </c>
    </row>
    <row r="3" spans="1:26" x14ac:dyDescent="0.35">
      <c r="A3" s="1">
        <v>2</v>
      </c>
      <c r="B3" s="8">
        <v>1161111.111111111</v>
      </c>
      <c r="C3" s="1">
        <v>1</v>
      </c>
      <c r="D3" s="10">
        <f t="shared" si="0"/>
        <v>1.7646406702121629</v>
      </c>
      <c r="E3" s="1">
        <f t="shared" ref="E3:E9" si="1">C3^2</f>
        <v>1</v>
      </c>
      <c r="F3" s="10">
        <f t="shared" ref="F3:F9" si="2">C3*D3</f>
        <v>1.7646406702121629</v>
      </c>
      <c r="J3" s="16">
        <f t="shared" ref="J3:J9" si="3">C3-H$11</f>
        <v>-2.8383625864074382</v>
      </c>
      <c r="L3"/>
      <c r="N3" s="17"/>
      <c r="P3" s="9"/>
    </row>
    <row r="4" spans="1:26" x14ac:dyDescent="0.35">
      <c r="A4" s="1">
        <v>3</v>
      </c>
      <c r="B4" s="8">
        <v>2366666.6666666665</v>
      </c>
      <c r="C4" s="1">
        <v>2</v>
      </c>
      <c r="D4" s="10">
        <f t="shared" si="0"/>
        <v>0.85675999511532197</v>
      </c>
      <c r="E4" s="1">
        <f t="shared" si="1"/>
        <v>4</v>
      </c>
      <c r="F4" s="10">
        <f t="shared" si="2"/>
        <v>1.7135199902306439</v>
      </c>
      <c r="H4" s="4" t="s">
        <v>28</v>
      </c>
      <c r="J4" s="16">
        <f t="shared" si="3"/>
        <v>-1.8383625864074382</v>
      </c>
      <c r="L4" s="43" t="s">
        <v>13</v>
      </c>
      <c r="M4" s="43"/>
      <c r="N4" s="17"/>
      <c r="P4" s="9"/>
    </row>
    <row r="5" spans="1:26" x14ac:dyDescent="0.35">
      <c r="A5" s="1">
        <v>4</v>
      </c>
      <c r="B5" s="8">
        <v>3394444.444444444</v>
      </c>
      <c r="C5" s="1">
        <v>3</v>
      </c>
      <c r="D5" s="10">
        <f t="shared" si="0"/>
        <v>0.29231534841876855</v>
      </c>
      <c r="E5" s="1">
        <f t="shared" si="1"/>
        <v>9</v>
      </c>
      <c r="F5" s="10">
        <f t="shared" si="2"/>
        <v>0.8769460452563056</v>
      </c>
      <c r="H5" s="16">
        <f>EXP(P8)</f>
        <v>9.6449645626187568</v>
      </c>
      <c r="J5" s="16">
        <f t="shared" si="3"/>
        <v>-0.83836258640743822</v>
      </c>
      <c r="L5" s="3">
        <f t="array" ref="L5:M6">MINVERSE(L1:M2)</f>
        <v>0.41666666666666663</v>
      </c>
      <c r="M5" s="3">
        <v>-8.3333333333333329E-2</v>
      </c>
      <c r="N5" s="17"/>
      <c r="P5" s="9"/>
    </row>
    <row r="6" spans="1:26" x14ac:dyDescent="0.35">
      <c r="A6" s="1">
        <v>5</v>
      </c>
      <c r="B6" s="8">
        <v>4027777.7777777775</v>
      </c>
      <c r="C6" s="1">
        <v>4</v>
      </c>
      <c r="D6" s="10">
        <f t="shared" si="0"/>
        <v>-2.8754298355388785E-2</v>
      </c>
      <c r="E6" s="1">
        <f t="shared" si="1"/>
        <v>16</v>
      </c>
      <c r="F6" s="10">
        <f t="shared" si="2"/>
        <v>-0.11501719342155514</v>
      </c>
      <c r="J6" s="16">
        <f t="shared" si="3"/>
        <v>0.16163741359256178</v>
      </c>
      <c r="L6" s="3">
        <v>-8.3333333333333329E-2</v>
      </c>
      <c r="M6" s="3">
        <v>2.3809523809523808E-2</v>
      </c>
      <c r="N6" s="17"/>
      <c r="P6" s="9"/>
    </row>
    <row r="7" spans="1:26" x14ac:dyDescent="0.35">
      <c r="A7" s="1">
        <v>6</v>
      </c>
      <c r="B7" s="8">
        <v>5119444.444444444</v>
      </c>
      <c r="C7" s="1">
        <v>5</v>
      </c>
      <c r="D7" s="10">
        <f t="shared" si="0"/>
        <v>-0.59561975957232338</v>
      </c>
      <c r="E7" s="1">
        <f t="shared" si="1"/>
        <v>25</v>
      </c>
      <c r="F7" s="10">
        <f t="shared" si="2"/>
        <v>-2.9780987978616169</v>
      </c>
      <c r="H7" s="4" t="s">
        <v>5</v>
      </c>
      <c r="J7" s="16">
        <f t="shared" si="3"/>
        <v>1.1616374135925618</v>
      </c>
      <c r="L7"/>
      <c r="N7" s="17"/>
      <c r="P7" s="9"/>
    </row>
    <row r="8" spans="1:26" x14ac:dyDescent="0.35">
      <c r="A8" s="1">
        <v>7</v>
      </c>
      <c r="B8" s="8">
        <v>5350000</v>
      </c>
      <c r="C8" s="1">
        <v>6</v>
      </c>
      <c r="D8" s="10">
        <f t="shared" si="0"/>
        <v>-0.72490257839115502</v>
      </c>
      <c r="E8" s="1">
        <f t="shared" si="1"/>
        <v>36</v>
      </c>
      <c r="F8" s="10">
        <f t="shared" si="2"/>
        <v>-4.3494154703469299</v>
      </c>
      <c r="H8" s="16">
        <f>-(P9)</f>
        <v>0.59046948305658609</v>
      </c>
      <c r="J8" s="16">
        <f t="shared" si="3"/>
        <v>2.1616374135925618</v>
      </c>
      <c r="L8"/>
      <c r="N8" s="18" t="s">
        <v>10</v>
      </c>
      <c r="O8" s="6" t="s">
        <v>12</v>
      </c>
      <c r="P8" s="16">
        <f t="array" ref="P8:P9">MMULT(L5:M6,P1:P2)</f>
        <v>2.2664359721797407</v>
      </c>
    </row>
    <row r="9" spans="1:26" x14ac:dyDescent="0.35">
      <c r="A9" s="1">
        <v>8</v>
      </c>
      <c r="B9" s="8">
        <v>7219444.444444445</v>
      </c>
      <c r="C9" s="1">
        <v>7</v>
      </c>
      <c r="D9" s="10">
        <f t="shared" si="0"/>
        <v>-2.302585092994045</v>
      </c>
      <c r="E9" s="1">
        <f t="shared" si="1"/>
        <v>49</v>
      </c>
      <c r="F9" s="10">
        <f t="shared" si="2"/>
        <v>-16.118095650958317</v>
      </c>
      <c r="J9" s="16">
        <f t="shared" si="3"/>
        <v>3.1616374135925618</v>
      </c>
      <c r="L9"/>
      <c r="N9" s="18" t="s">
        <v>11</v>
      </c>
      <c r="O9" s="6" t="s">
        <v>12</v>
      </c>
      <c r="P9" s="16">
        <v>-0.59046948305658609</v>
      </c>
    </row>
    <row r="10" spans="1:26" x14ac:dyDescent="0.35">
      <c r="A10" s="36"/>
      <c r="B10" s="37"/>
      <c r="C10" s="11">
        <f>SUM(C2:C9)</f>
        <v>28</v>
      </c>
      <c r="D10" s="12">
        <f>SUM(D2:D9)</f>
        <v>1.5983422518535169</v>
      </c>
      <c r="E10" s="13">
        <f>SUM(E2:E9)</f>
        <v>140</v>
      </c>
      <c r="F10" s="12">
        <f>SUM(F2:F9)</f>
        <v>-19.205520406889306</v>
      </c>
      <c r="H10" s="4" t="s">
        <v>20</v>
      </c>
    </row>
    <row r="11" spans="1:26" x14ac:dyDescent="0.35">
      <c r="H11" s="3">
        <f>LN(H5)/H8</f>
        <v>3.8383625864074382</v>
      </c>
      <c r="X11" s="17"/>
      <c r="Z11" s="9"/>
    </row>
    <row r="13" spans="1:26" x14ac:dyDescent="0.35">
      <c r="A13" s="7" t="s">
        <v>7</v>
      </c>
      <c r="B13" s="7" t="s">
        <v>57</v>
      </c>
      <c r="C13" s="4" t="s">
        <v>15</v>
      </c>
      <c r="D13" s="4" t="s">
        <v>36</v>
      </c>
    </row>
    <row r="14" spans="1:26" x14ac:dyDescent="0.35">
      <c r="A14" s="1">
        <v>0</v>
      </c>
      <c r="B14" s="8">
        <f t="shared" ref="B14:B21" si="4">H$2/(1+(EXP(-(H$8*J2))))</f>
        <v>746023.04612418893</v>
      </c>
      <c r="C14" s="5">
        <f t="shared" ref="C14:C21" si="5">ABS((B2-B14)/B2)*100</f>
        <v>6.5747208748841324</v>
      </c>
      <c r="D14" s="16">
        <f>SUM(C14:C21)/8</f>
        <v>8.5376384338724058</v>
      </c>
    </row>
    <row r="15" spans="1:26" x14ac:dyDescent="0.35">
      <c r="A15" s="1">
        <v>1</v>
      </c>
      <c r="B15" s="8">
        <f t="shared" si="4"/>
        <v>1251803.6021403254</v>
      </c>
      <c r="C15" s="5">
        <f t="shared" si="5"/>
        <v>7.8108365479706148</v>
      </c>
    </row>
    <row r="16" spans="1:26" x14ac:dyDescent="0.35">
      <c r="A16" s="1">
        <v>2</v>
      </c>
      <c r="B16" s="8">
        <f t="shared" si="4"/>
        <v>2004939.9749095349</v>
      </c>
      <c r="C16" s="5">
        <f t="shared" si="5"/>
        <v>15.284226412273167</v>
      </c>
    </row>
    <row r="17" spans="1:3" x14ac:dyDescent="0.35">
      <c r="A17" s="1">
        <v>3</v>
      </c>
      <c r="B17" s="8">
        <f t="shared" si="4"/>
        <v>3007482.8217448895</v>
      </c>
      <c r="C17" s="5">
        <f t="shared" si="5"/>
        <v>11.399851405224194</v>
      </c>
    </row>
    <row r="18" spans="1:3" x14ac:dyDescent="0.35">
      <c r="A18" s="1">
        <v>4</v>
      </c>
      <c r="B18" s="8">
        <f t="shared" si="4"/>
        <v>4160036.1677294173</v>
      </c>
      <c r="C18" s="5">
        <f t="shared" si="5"/>
        <v>3.283656578109678</v>
      </c>
    </row>
    <row r="19" spans="1:3" x14ac:dyDescent="0.35">
      <c r="A19" s="1">
        <v>5</v>
      </c>
      <c r="B19" s="8">
        <f t="shared" si="4"/>
        <v>5281474.6072983602</v>
      </c>
      <c r="C19" s="5">
        <f t="shared" si="5"/>
        <v>3.1649950421817596</v>
      </c>
    </row>
    <row r="20" spans="1:3" x14ac:dyDescent="0.35">
      <c r="A20" s="1">
        <v>6</v>
      </c>
      <c r="B20" s="8">
        <f t="shared" si="4"/>
        <v>6208840.6956126969</v>
      </c>
      <c r="C20" s="5">
        <f t="shared" si="5"/>
        <v>16.053097114256019</v>
      </c>
    </row>
    <row r="21" spans="1:3" x14ac:dyDescent="0.35">
      <c r="A21" s="1">
        <v>7</v>
      </c>
      <c r="B21" s="8">
        <f t="shared" si="4"/>
        <v>6877984.6842691367</v>
      </c>
      <c r="C21" s="5">
        <f t="shared" si="5"/>
        <v>4.7297234960796821</v>
      </c>
    </row>
  </sheetData>
  <mergeCells count="1">
    <mergeCell ref="L4:M4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ECC1A-8729-44F1-8B75-5A0B6DFD1ED3}">
  <sheetPr codeName="Sheet13"/>
  <dimension ref="A1:P26"/>
  <sheetViews>
    <sheetView topLeftCell="G5" zoomScale="48" zoomScaleNormal="85" workbookViewId="0">
      <selection activeCell="O9" sqref="O9"/>
    </sheetView>
  </sheetViews>
  <sheetFormatPr defaultRowHeight="14.5" x14ac:dyDescent="0.35"/>
  <cols>
    <col min="1" max="1" width="12.7265625" bestFit="1" customWidth="1"/>
    <col min="2" max="2" width="13.08984375" bestFit="1" customWidth="1"/>
    <col min="3" max="4" width="13.453125" bestFit="1" customWidth="1"/>
    <col min="5" max="5" width="12.453125" bestFit="1" customWidth="1"/>
    <col min="6" max="6" width="22.90625" bestFit="1" customWidth="1"/>
    <col min="7" max="7" width="12.7265625" bestFit="1" customWidth="1"/>
    <col min="9" max="9" width="11.81640625" bestFit="1" customWidth="1"/>
    <col min="15" max="15" width="20.90625" bestFit="1" customWidth="1"/>
    <col min="16" max="16" width="11.81640625" bestFit="1" customWidth="1"/>
  </cols>
  <sheetData>
    <row r="1" spans="1:16" x14ac:dyDescent="0.35">
      <c r="A1" s="3"/>
      <c r="B1" s="4" t="s">
        <v>17</v>
      </c>
      <c r="C1" s="4" t="s">
        <v>18</v>
      </c>
      <c r="D1" s="4" t="s">
        <v>19</v>
      </c>
      <c r="F1" s="4" t="s">
        <v>60</v>
      </c>
      <c r="G1" s="4" t="s">
        <v>5</v>
      </c>
      <c r="O1" s="4" t="s">
        <v>60</v>
      </c>
      <c r="P1" s="4" t="s">
        <v>20</v>
      </c>
    </row>
    <row r="2" spans="1:16" x14ac:dyDescent="0.35">
      <c r="A2" s="19" t="s">
        <v>58</v>
      </c>
      <c r="B2" s="16">
        <f>'Logistics Model 6 hours'!P8</f>
        <v>0.95305298213652523</v>
      </c>
      <c r="C2" s="16">
        <f>'Logistics Model 12 hours'!P8</f>
        <v>1.7569580185690383</v>
      </c>
      <c r="D2" s="16">
        <f>'Logistics Model 24 hours'!P8</f>
        <v>2.2664359721797407</v>
      </c>
      <c r="F2" s="3">
        <v>6</v>
      </c>
      <c r="G2" s="3">
        <f>'Logistics Model 6 hours'!H8</f>
        <v>0.34839005288485492</v>
      </c>
      <c r="O2" s="3">
        <v>6</v>
      </c>
      <c r="P2" s="16">
        <f>'Logistics Model 6 hours'!H11</f>
        <v>2.7355918294587909</v>
      </c>
    </row>
    <row r="3" spans="1:16" x14ac:dyDescent="0.35">
      <c r="A3" s="19" t="s">
        <v>59</v>
      </c>
      <c r="B3" s="16">
        <f>'Logistics Model 6 hours'!P9</f>
        <v>-0.34839005288485492</v>
      </c>
      <c r="C3" s="16">
        <f>'Logistics Model 12 hours'!P9</f>
        <v>-0.49033396495532672</v>
      </c>
      <c r="D3" s="16">
        <f>'Logistics Model 24 hours'!P9</f>
        <v>-0.59046948305658609</v>
      </c>
      <c r="F3" s="3">
        <v>12</v>
      </c>
      <c r="G3" s="3">
        <f>'Logistics Model 12 hours'!H8</f>
        <v>0.49033396495532672</v>
      </c>
      <c r="O3" s="3">
        <v>12</v>
      </c>
      <c r="P3" s="16">
        <f>'Logistics Model 12 hours'!H11</f>
        <v>3.5831864487076905</v>
      </c>
    </row>
    <row r="4" spans="1:16" x14ac:dyDescent="0.35">
      <c r="A4" s="19" t="s">
        <v>28</v>
      </c>
      <c r="B4" s="16">
        <f>EXP(B2)</f>
        <v>2.5936158473003879</v>
      </c>
      <c r="C4" s="16">
        <f>EXP(C2)</f>
        <v>5.7947829336650738</v>
      </c>
      <c r="D4" s="16">
        <f>EXP(D2)</f>
        <v>9.6449645626187568</v>
      </c>
      <c r="F4" s="3">
        <v>24</v>
      </c>
      <c r="G4" s="3">
        <f>'Logistics Model 24 hours'!H8</f>
        <v>0.59046948305658609</v>
      </c>
      <c r="O4" s="3">
        <v>24</v>
      </c>
      <c r="P4" s="16">
        <f>'Logistics Model 24 hours'!H11</f>
        <v>3.8383625864074382</v>
      </c>
    </row>
    <row r="5" spans="1:16" x14ac:dyDescent="0.35">
      <c r="A5" s="19" t="s">
        <v>5</v>
      </c>
      <c r="B5" s="16">
        <f>G2</f>
        <v>0.34839005288485492</v>
      </c>
      <c r="C5" s="16">
        <f>G3</f>
        <v>0.49033396495532672</v>
      </c>
      <c r="D5" s="16">
        <f>G4</f>
        <v>0.59046948305658609</v>
      </c>
    </row>
    <row r="6" spans="1:16" x14ac:dyDescent="0.35">
      <c r="A6" s="19" t="s">
        <v>22</v>
      </c>
      <c r="B6" s="16">
        <f>G17</f>
        <v>0</v>
      </c>
      <c r="C6" s="16">
        <f>ABS(C5-B5)/ABS(B5)*100</f>
        <v>40.742814237978585</v>
      </c>
      <c r="D6" s="16">
        <f>ABS(D5-C5)/ABS(B5)*100</f>
        <v>28.742358535234867</v>
      </c>
    </row>
    <row r="7" spans="1:16" x14ac:dyDescent="0.35">
      <c r="A7" s="19" t="s">
        <v>20</v>
      </c>
      <c r="B7" s="16">
        <f>LN(B4)/B5</f>
        <v>2.7355918294587909</v>
      </c>
      <c r="C7" s="16">
        <f>LN(C4)/C5</f>
        <v>3.5831864487076905</v>
      </c>
      <c r="D7" s="16">
        <f>LN(D4)/D5</f>
        <v>3.8383625864074382</v>
      </c>
    </row>
    <row r="16" spans="1:16" x14ac:dyDescent="0.35">
      <c r="F16" s="4" t="s">
        <v>60</v>
      </c>
      <c r="G16" s="4" t="s">
        <v>21</v>
      </c>
      <c r="O16" s="4" t="s">
        <v>60</v>
      </c>
      <c r="P16" s="39" t="s">
        <v>6</v>
      </c>
    </row>
    <row r="17" spans="6:16" x14ac:dyDescent="0.35">
      <c r="F17" s="3">
        <v>6</v>
      </c>
      <c r="G17" s="3">
        <v>0</v>
      </c>
      <c r="O17" s="3">
        <v>6</v>
      </c>
      <c r="P17" s="3">
        <f>'Logistics Model 6 hours'!H2</f>
        <v>2530000</v>
      </c>
    </row>
    <row r="18" spans="6:16" x14ac:dyDescent="0.35">
      <c r="F18" s="3">
        <v>12</v>
      </c>
      <c r="G18" s="16">
        <f>C6</f>
        <v>40.742814237978585</v>
      </c>
      <c r="O18" s="3">
        <v>12</v>
      </c>
      <c r="P18" s="3">
        <f>'Logistics Model 12 hours'!H2</f>
        <v>4699444.444444445</v>
      </c>
    </row>
    <row r="19" spans="6:16" x14ac:dyDescent="0.35">
      <c r="F19" s="3">
        <v>24</v>
      </c>
      <c r="G19" s="16">
        <f>D6</f>
        <v>28.742358535234867</v>
      </c>
      <c r="O19" s="3">
        <v>24</v>
      </c>
      <c r="P19" s="3">
        <f>'Logistics Model 24 hours'!H2</f>
        <v>7941388.8888888899</v>
      </c>
    </row>
    <row r="22" spans="6:16" x14ac:dyDescent="0.35">
      <c r="F22" s="9"/>
      <c r="G22" s="9"/>
    </row>
    <row r="23" spans="6:16" x14ac:dyDescent="0.35">
      <c r="F23" s="9"/>
      <c r="G23" s="9"/>
    </row>
    <row r="24" spans="6:16" x14ac:dyDescent="0.35">
      <c r="F24" s="9"/>
      <c r="G24" s="25"/>
    </row>
    <row r="26" spans="6:16" x14ac:dyDescent="0.35">
      <c r="F26" s="9"/>
      <c r="G26" s="25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A81D3-AA80-4EE3-9FF3-0F59916A3964}">
  <sheetPr codeName="Sheet17"/>
  <dimension ref="A1:O24"/>
  <sheetViews>
    <sheetView zoomScale="70" zoomScaleNormal="70" workbookViewId="0">
      <selection activeCell="P15" sqref="P15"/>
    </sheetView>
  </sheetViews>
  <sheetFormatPr defaultRowHeight="14.5" x14ac:dyDescent="0.35"/>
  <cols>
    <col min="1" max="1" width="10.7265625" bestFit="1" customWidth="1"/>
    <col min="2" max="2" width="11.81640625" bestFit="1" customWidth="1"/>
    <col min="3" max="4" width="10.36328125" bestFit="1" customWidth="1"/>
    <col min="6" max="6" width="7.81640625" customWidth="1"/>
    <col min="7" max="8" width="4.453125" customWidth="1"/>
    <col min="9" max="9" width="9" customWidth="1"/>
    <col min="13" max="13" width="4.1796875" customWidth="1"/>
    <col min="14" max="14" width="3.54296875" customWidth="1"/>
    <col min="15" max="15" width="13.08984375" bestFit="1" customWidth="1"/>
  </cols>
  <sheetData>
    <row r="1" spans="1:15" x14ac:dyDescent="0.35">
      <c r="A1" s="4" t="s">
        <v>61</v>
      </c>
      <c r="B1" s="4" t="s">
        <v>5</v>
      </c>
      <c r="C1" s="4" t="s">
        <v>14</v>
      </c>
      <c r="D1" s="4" t="s">
        <v>42</v>
      </c>
      <c r="E1" s="9"/>
      <c r="F1" s="43" t="s">
        <v>62</v>
      </c>
      <c r="G1" s="43"/>
      <c r="H1" s="43"/>
      <c r="I1" s="43"/>
      <c r="K1" s="14">
        <f>COUNT(A7:A9)</f>
        <v>3</v>
      </c>
      <c r="L1" s="14">
        <f>A10</f>
        <v>42</v>
      </c>
      <c r="M1" s="18" t="s">
        <v>43</v>
      </c>
      <c r="N1" s="6" t="s">
        <v>12</v>
      </c>
      <c r="O1" s="15">
        <f>B10</f>
        <v>-5.4342027735067227</v>
      </c>
    </row>
    <row r="2" spans="1:15" x14ac:dyDescent="0.35">
      <c r="A2" s="3">
        <v>6</v>
      </c>
      <c r="B2" s="3">
        <v>0.34839999999999999</v>
      </c>
      <c r="C2" s="16">
        <f>B4+(G2%*B4)</f>
        <v>0.62002500000000005</v>
      </c>
      <c r="D2" s="16">
        <f>-((3*C10)-(A10*B10))/((3*D10)-(A10^2))</f>
        <v>0.12329666391836951</v>
      </c>
      <c r="E2" s="9"/>
      <c r="F2" s="34" t="s">
        <v>47</v>
      </c>
      <c r="G2" s="34">
        <v>5</v>
      </c>
      <c r="H2" s="33" t="s">
        <v>45</v>
      </c>
      <c r="I2" s="6" t="s">
        <v>46</v>
      </c>
      <c r="K2" s="14">
        <f>A10</f>
        <v>42</v>
      </c>
      <c r="L2" s="14">
        <f>D10</f>
        <v>756</v>
      </c>
      <c r="M2" s="18" t="s">
        <v>41</v>
      </c>
      <c r="N2" s="6" t="s">
        <v>12</v>
      </c>
      <c r="O2" s="15">
        <f>C10</f>
        <v>-96.792678367380191</v>
      </c>
    </row>
    <row r="3" spans="1:15" x14ac:dyDescent="0.35">
      <c r="A3" s="3">
        <v>12</v>
      </c>
      <c r="B3" s="3">
        <v>0.49030000000000001</v>
      </c>
      <c r="M3" s="17"/>
      <c r="O3" s="9"/>
    </row>
    <row r="4" spans="1:15" x14ac:dyDescent="0.35">
      <c r="A4" s="3">
        <v>24</v>
      </c>
      <c r="B4" s="3">
        <v>0.59050000000000002</v>
      </c>
      <c r="K4" s="43" t="s">
        <v>13</v>
      </c>
      <c r="L4" s="43"/>
      <c r="M4" s="17"/>
      <c r="O4" s="9"/>
    </row>
    <row r="5" spans="1:15" x14ac:dyDescent="0.35">
      <c r="K5" s="6">
        <f t="array" ref="K5:L6">MINVERSE(K1:L2)</f>
        <v>1.5</v>
      </c>
      <c r="L5" s="6">
        <v>-8.3333333333333329E-2</v>
      </c>
      <c r="M5" s="17"/>
      <c r="O5" s="9"/>
    </row>
    <row r="6" spans="1:15" x14ac:dyDescent="0.35">
      <c r="A6" s="4" t="s">
        <v>37</v>
      </c>
      <c r="B6" s="4" t="s">
        <v>38</v>
      </c>
      <c r="C6" s="4" t="s">
        <v>39</v>
      </c>
      <c r="D6" s="4" t="s">
        <v>40</v>
      </c>
      <c r="E6" s="9"/>
      <c r="K6" s="6">
        <v>-8.3333333333333329E-2</v>
      </c>
      <c r="L6" s="6">
        <v>5.9523809523809521E-3</v>
      </c>
      <c r="M6" s="17"/>
      <c r="O6" s="9"/>
    </row>
    <row r="7" spans="1:15" x14ac:dyDescent="0.35">
      <c r="A7" s="3">
        <v>6</v>
      </c>
      <c r="B7" s="3">
        <f>LN(1-(B2/C$2))</f>
        <v>-0.82533736123025525</v>
      </c>
      <c r="C7" s="3">
        <f>A7*B7</f>
        <v>-4.9520241673815315</v>
      </c>
      <c r="D7" s="3">
        <f>A7^2</f>
        <v>36</v>
      </c>
      <c r="E7" s="9"/>
      <c r="M7" s="17"/>
      <c r="O7" s="9"/>
    </row>
    <row r="8" spans="1:15" x14ac:dyDescent="0.35">
      <c r="A8" s="3">
        <v>12</v>
      </c>
      <c r="B8" s="3">
        <f>LN(1-(B3/C$2))</f>
        <v>-1.5643429745530455</v>
      </c>
      <c r="C8" s="3">
        <f>A8*B8</f>
        <v>-18.772115694636547</v>
      </c>
      <c r="D8" s="3">
        <f>A8^2</f>
        <v>144</v>
      </c>
      <c r="E8" s="9"/>
      <c r="K8" s="9"/>
      <c r="M8" s="18" t="s">
        <v>43</v>
      </c>
      <c r="N8" s="6" t="s">
        <v>12</v>
      </c>
      <c r="O8" s="16">
        <f t="array" ref="O8:O9">MMULT(K5:L6,O1:O2)</f>
        <v>-8.5247629645069267E-2</v>
      </c>
    </row>
    <row r="9" spans="1:15" x14ac:dyDescent="0.35">
      <c r="A9" s="3">
        <v>24</v>
      </c>
      <c r="B9" s="3">
        <f>LN(1-(B4/C$2))</f>
        <v>-3.0445224377234217</v>
      </c>
      <c r="C9" s="3">
        <f>A9*B9</f>
        <v>-73.068538505362113</v>
      </c>
      <c r="D9" s="3">
        <f>A9^2</f>
        <v>576</v>
      </c>
      <c r="E9" s="9"/>
      <c r="K9" s="32"/>
      <c r="M9" s="18" t="s">
        <v>41</v>
      </c>
      <c r="N9" s="6" t="s">
        <v>12</v>
      </c>
      <c r="O9" s="16">
        <v>-0.12329666391836946</v>
      </c>
    </row>
    <row r="10" spans="1:15" x14ac:dyDescent="0.35">
      <c r="A10" s="14">
        <f>SUM(A7:A9)</f>
        <v>42</v>
      </c>
      <c r="B10" s="14">
        <f>SUM(B7:B9)</f>
        <v>-5.4342027735067227</v>
      </c>
      <c r="C10" s="14">
        <f>SUM(C7:C9)</f>
        <v>-96.792678367380191</v>
      </c>
      <c r="D10" s="14">
        <f>SUM(D7:D9)</f>
        <v>756</v>
      </c>
      <c r="E10" s="9"/>
      <c r="M10" s="18" t="s">
        <v>42</v>
      </c>
      <c r="N10" s="6" t="s">
        <v>12</v>
      </c>
      <c r="O10" s="16">
        <f>-O9</f>
        <v>0.12329666391836946</v>
      </c>
    </row>
    <row r="15" spans="1:15" x14ac:dyDescent="0.35">
      <c r="A15" s="4" t="s">
        <v>61</v>
      </c>
      <c r="B15" s="4" t="s">
        <v>20</v>
      </c>
      <c r="C15" s="4" t="s">
        <v>35</v>
      </c>
      <c r="D15" s="4" t="s">
        <v>50</v>
      </c>
      <c r="E15" s="9"/>
      <c r="F15" s="43" t="s">
        <v>63</v>
      </c>
      <c r="G15" s="43"/>
      <c r="H15" s="43"/>
      <c r="I15" s="43"/>
      <c r="K15" s="14">
        <f>COUNT(A21:A23)</f>
        <v>3</v>
      </c>
      <c r="L15" s="14">
        <f>A24</f>
        <v>42</v>
      </c>
      <c r="M15" s="18" t="s">
        <v>43</v>
      </c>
      <c r="N15" s="6" t="s">
        <v>12</v>
      </c>
      <c r="O15" s="15">
        <f>B24</f>
        <v>-8.4186575644642758</v>
      </c>
    </row>
    <row r="16" spans="1:15" x14ac:dyDescent="0.35">
      <c r="A16" s="3">
        <v>6</v>
      </c>
      <c r="B16" s="3">
        <v>2.7355999999999998</v>
      </c>
      <c r="C16" s="3">
        <f>B18+(G16%*B18)</f>
        <v>3.8767840000000002</v>
      </c>
      <c r="D16" s="16">
        <f>-((3*C24)-(A24*B24))/((3*D24)-(A24^2))</f>
        <v>0.18575293648216942</v>
      </c>
      <c r="E16" s="9"/>
      <c r="F16" s="34" t="s">
        <v>48</v>
      </c>
      <c r="G16" s="34">
        <v>1</v>
      </c>
      <c r="H16" s="35" t="s">
        <v>45</v>
      </c>
      <c r="I16" s="6" t="s">
        <v>49</v>
      </c>
      <c r="K16" s="14">
        <f>A24</f>
        <v>42</v>
      </c>
      <c r="L16" s="14">
        <f>D24</f>
        <v>756</v>
      </c>
      <c r="M16" s="18" t="s">
        <v>41</v>
      </c>
      <c r="N16" s="6" t="s">
        <v>12</v>
      </c>
      <c r="O16" s="15">
        <f>C24</f>
        <v>-149.06769923150432</v>
      </c>
    </row>
    <row r="17" spans="1:15" x14ac:dyDescent="0.35">
      <c r="A17" s="3">
        <v>12</v>
      </c>
      <c r="B17" s="3">
        <v>3.5832000000000002</v>
      </c>
      <c r="M17" s="17"/>
      <c r="O17" s="9"/>
    </row>
    <row r="18" spans="1:15" x14ac:dyDescent="0.35">
      <c r="A18" s="3">
        <v>24</v>
      </c>
      <c r="B18" s="3">
        <v>3.8384</v>
      </c>
      <c r="K18" s="43" t="s">
        <v>13</v>
      </c>
      <c r="L18" s="43"/>
      <c r="M18" s="17"/>
      <c r="O18" s="9"/>
    </row>
    <row r="19" spans="1:15" x14ac:dyDescent="0.35">
      <c r="K19" s="6">
        <f t="array" ref="K19:L20">MINVERSE(K15:L16)</f>
        <v>1.5</v>
      </c>
      <c r="L19" s="6">
        <v>-8.3333333333333329E-2</v>
      </c>
      <c r="M19" s="17"/>
      <c r="O19" s="9"/>
    </row>
    <row r="20" spans="1:15" x14ac:dyDescent="0.35">
      <c r="A20" s="4" t="s">
        <v>37</v>
      </c>
      <c r="B20" s="4" t="s">
        <v>38</v>
      </c>
      <c r="C20" s="4" t="s">
        <v>39</v>
      </c>
      <c r="D20" s="4" t="s">
        <v>40</v>
      </c>
      <c r="E20" s="9"/>
      <c r="K20" s="6">
        <v>-8.3333333333333329E-2</v>
      </c>
      <c r="L20" s="6">
        <v>5.9523809523809521E-3</v>
      </c>
      <c r="M20" s="17"/>
      <c r="O20" s="9"/>
    </row>
    <row r="21" spans="1:15" x14ac:dyDescent="0.35">
      <c r="A21" s="3">
        <v>6</v>
      </c>
      <c r="B21" s="3">
        <f>LN(1-(B16/C$16))</f>
        <v>-1.2229396240270165</v>
      </c>
      <c r="C21" s="3">
        <f>A21*B21</f>
        <v>-7.337637744162099</v>
      </c>
      <c r="D21" s="3">
        <f>A21^2</f>
        <v>36</v>
      </c>
      <c r="E21" s="9"/>
      <c r="M21" s="17"/>
      <c r="O21" s="9"/>
    </row>
    <row r="22" spans="1:15" x14ac:dyDescent="0.35">
      <c r="A22" s="3">
        <v>12</v>
      </c>
      <c r="B22" s="3">
        <f>LN(1-(B17/C$16))</f>
        <v>-2.580597423596001</v>
      </c>
      <c r="C22" s="3">
        <f>A22*B22</f>
        <v>-30.967169083152012</v>
      </c>
      <c r="D22" s="3">
        <f>A22^2</f>
        <v>144</v>
      </c>
      <c r="E22" s="9"/>
      <c r="K22" s="9"/>
      <c r="M22" s="18" t="s">
        <v>43</v>
      </c>
      <c r="N22" s="6" t="s">
        <v>12</v>
      </c>
      <c r="O22" s="16">
        <f t="array" ref="O22:O23">MMULT(K19:L20,O15:O16)</f>
        <v>-0.20567807740438759</v>
      </c>
    </row>
    <row r="23" spans="1:15" x14ac:dyDescent="0.35">
      <c r="A23" s="3">
        <v>24</v>
      </c>
      <c r="B23" s="3">
        <f>LN(1-(B18/C$16))</f>
        <v>-4.6151205168412588</v>
      </c>
      <c r="C23" s="3">
        <f>A23*B23</f>
        <v>-110.76289240419021</v>
      </c>
      <c r="D23" s="3">
        <f>A23^2</f>
        <v>576</v>
      </c>
      <c r="E23" s="9"/>
      <c r="K23" s="32"/>
      <c r="M23" s="18" t="s">
        <v>41</v>
      </c>
      <c r="N23" s="6" t="s">
        <v>12</v>
      </c>
      <c r="O23" s="16">
        <v>-0.1857529364821694</v>
      </c>
    </row>
    <row r="24" spans="1:15" x14ac:dyDescent="0.35">
      <c r="A24" s="14">
        <f>SUM(A21:A23)</f>
        <v>42</v>
      </c>
      <c r="B24" s="14">
        <f>SUM(B21:B23)</f>
        <v>-8.4186575644642758</v>
      </c>
      <c r="C24" s="14">
        <f>SUM(C21:C23)</f>
        <v>-149.06769923150432</v>
      </c>
      <c r="D24" s="14">
        <f>SUM(D21:D23)</f>
        <v>756</v>
      </c>
      <c r="E24" s="9"/>
      <c r="M24" s="18" t="s">
        <v>50</v>
      </c>
      <c r="N24" s="6" t="s">
        <v>12</v>
      </c>
      <c r="O24" s="16">
        <f>-O23</f>
        <v>0.1857529364821694</v>
      </c>
    </row>
  </sheetData>
  <mergeCells count="4">
    <mergeCell ref="K18:L18"/>
    <mergeCell ref="F1:I1"/>
    <mergeCell ref="F15:I15"/>
    <mergeCell ref="K4:L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E272F-A52C-44CB-A26D-1B0832DF79F6}">
  <sheetPr codeName="Sheet16"/>
  <dimension ref="A1:AL37"/>
  <sheetViews>
    <sheetView topLeftCell="D1" zoomScale="67" zoomScaleNormal="40" workbookViewId="0">
      <selection activeCell="N27" sqref="N27"/>
    </sheetView>
  </sheetViews>
  <sheetFormatPr defaultRowHeight="14.5" x14ac:dyDescent="0.35"/>
  <cols>
    <col min="2" max="2" width="13.1796875" customWidth="1"/>
    <col min="3" max="3" width="13.36328125" customWidth="1"/>
    <col min="4" max="4" width="14.6328125" customWidth="1"/>
    <col min="5" max="5" width="11.1796875" customWidth="1"/>
    <col min="6" max="6" width="12" bestFit="1" customWidth="1"/>
    <col min="7" max="7" width="12" customWidth="1"/>
    <col min="8" max="8" width="11.81640625" customWidth="1"/>
    <col min="9" max="9" width="14.6328125" customWidth="1"/>
    <col min="10" max="10" width="13.81640625" customWidth="1"/>
    <col min="11" max="11" width="13.54296875" style="17" customWidth="1"/>
    <col min="12" max="12" width="15.36328125" customWidth="1"/>
    <col min="13" max="13" width="19.7265625" style="9" customWidth="1"/>
    <col min="14" max="14" width="14.7265625" customWidth="1"/>
    <col min="15" max="15" width="7.08984375" customWidth="1"/>
    <col min="16" max="16" width="12.453125" customWidth="1"/>
    <col min="17" max="17" width="12.81640625" customWidth="1"/>
    <col min="18" max="18" width="12.36328125" customWidth="1"/>
    <col min="24" max="24" width="17.81640625" bestFit="1" customWidth="1"/>
    <col min="25" max="26" width="8.81640625" bestFit="1" customWidth="1"/>
    <col min="27" max="27" width="17.81640625" bestFit="1" customWidth="1"/>
    <col min="28" max="28" width="27.1796875" bestFit="1" customWidth="1"/>
    <col min="29" max="29" width="10.81640625" customWidth="1"/>
    <col min="34" max="34" width="17.81640625" bestFit="1" customWidth="1"/>
    <col min="35" max="35" width="18.1796875" bestFit="1" customWidth="1"/>
    <col min="37" max="37" width="17.81640625" bestFit="1" customWidth="1"/>
    <col min="38" max="38" width="17.54296875" bestFit="1" customWidth="1"/>
  </cols>
  <sheetData>
    <row r="1" spans="1:38" x14ac:dyDescent="0.35">
      <c r="A1" s="43" t="s">
        <v>64</v>
      </c>
      <c r="B1" s="43"/>
      <c r="C1" s="43"/>
      <c r="D1" s="43"/>
      <c r="L1" s="9"/>
      <c r="N1" s="4" t="s">
        <v>29</v>
      </c>
      <c r="P1" s="43" t="s">
        <v>74</v>
      </c>
      <c r="Q1" s="43"/>
      <c r="R1" s="4" t="s">
        <v>32</v>
      </c>
      <c r="W1" s="26"/>
      <c r="X1" s="9"/>
      <c r="Y1" s="9"/>
      <c r="AA1" s="9"/>
      <c r="AK1" s="9"/>
      <c r="AL1" s="9"/>
    </row>
    <row r="2" spans="1:38" x14ac:dyDescent="0.35">
      <c r="A2" s="7" t="s">
        <v>51</v>
      </c>
      <c r="B2" s="7" t="s">
        <v>65</v>
      </c>
      <c r="C2" s="7" t="s">
        <v>66</v>
      </c>
      <c r="D2" s="7" t="s">
        <v>67</v>
      </c>
      <c r="L2" s="9"/>
      <c r="N2" s="27">
        <v>7</v>
      </c>
      <c r="P2" s="3" t="s">
        <v>14</v>
      </c>
      <c r="Q2" s="31">
        <f>'Formula r &amp; t0'!C2</f>
        <v>0.62002500000000005</v>
      </c>
      <c r="R2" s="16">
        <f>Q2*(1-EXP(-Q3*N2))</f>
        <v>0.3584599126908693</v>
      </c>
      <c r="W2" s="26"/>
      <c r="X2" s="9"/>
      <c r="Y2" s="9"/>
      <c r="Z2" s="9"/>
      <c r="AA2" s="9"/>
      <c r="AB2" s="9"/>
      <c r="AK2" s="9"/>
      <c r="AL2" s="9"/>
    </row>
    <row r="3" spans="1:38" x14ac:dyDescent="0.35">
      <c r="A3" s="1">
        <v>1</v>
      </c>
      <c r="B3" s="8">
        <v>700000</v>
      </c>
      <c r="C3" s="8">
        <v>700000</v>
      </c>
      <c r="D3" s="8">
        <v>700000</v>
      </c>
      <c r="L3" s="9"/>
      <c r="M3"/>
      <c r="P3" s="3" t="s">
        <v>42</v>
      </c>
      <c r="Q3" s="31">
        <f>'Formula r &amp; t0'!D2</f>
        <v>0.12329666391836951</v>
      </c>
      <c r="W3" s="9"/>
      <c r="X3" s="9"/>
      <c r="Y3" s="9"/>
      <c r="Z3" s="40"/>
      <c r="AA3" s="9"/>
      <c r="AB3" s="9"/>
      <c r="AK3" s="9"/>
      <c r="AL3" s="9"/>
    </row>
    <row r="4" spans="1:38" x14ac:dyDescent="0.35">
      <c r="A4" s="1">
        <v>2</v>
      </c>
      <c r="B4" s="8">
        <v>1050000</v>
      </c>
      <c r="C4" s="8">
        <v>1083333.3333333333</v>
      </c>
      <c r="D4" s="8">
        <v>1161111.111111111</v>
      </c>
      <c r="W4" s="9"/>
      <c r="X4" s="9"/>
      <c r="Y4" s="9"/>
      <c r="Z4" s="40"/>
      <c r="AA4" s="9"/>
      <c r="AB4" s="9"/>
      <c r="AK4" s="9"/>
      <c r="AL4" s="9"/>
    </row>
    <row r="5" spans="1:38" x14ac:dyDescent="0.35">
      <c r="A5" s="1">
        <v>3</v>
      </c>
      <c r="B5" s="8">
        <v>1166666.6666666667</v>
      </c>
      <c r="C5" s="8">
        <v>1727777.777777778</v>
      </c>
      <c r="D5" s="8">
        <v>2366666.6666666665</v>
      </c>
      <c r="W5" s="9"/>
      <c r="X5" s="9"/>
      <c r="Y5" s="9"/>
      <c r="Z5" s="40"/>
      <c r="AA5" s="9"/>
      <c r="AB5" s="9"/>
      <c r="AK5" s="9"/>
      <c r="AL5" s="9"/>
    </row>
    <row r="6" spans="1:38" x14ac:dyDescent="0.35">
      <c r="A6" s="1">
        <v>4</v>
      </c>
      <c r="B6" s="8">
        <v>1255555.5555555557</v>
      </c>
      <c r="C6" s="8">
        <v>1916666.6666666667</v>
      </c>
      <c r="D6" s="8">
        <v>3394444.444444444</v>
      </c>
      <c r="P6" s="43" t="s">
        <v>75</v>
      </c>
      <c r="Q6" s="43"/>
      <c r="R6" s="4" t="s">
        <v>33</v>
      </c>
      <c r="X6" s="9"/>
      <c r="Y6" s="9"/>
      <c r="Z6" s="41"/>
      <c r="AA6" s="9"/>
      <c r="AB6" s="9"/>
      <c r="AK6" s="9"/>
      <c r="AL6" s="9"/>
    </row>
    <row r="7" spans="1:38" x14ac:dyDescent="0.35">
      <c r="A7" s="1">
        <v>5</v>
      </c>
      <c r="B7" s="8">
        <v>1483333.3333333333</v>
      </c>
      <c r="C7" s="8">
        <v>2494444.444444444</v>
      </c>
      <c r="D7" s="8">
        <v>4027777.7777777775</v>
      </c>
      <c r="P7" s="3" t="s">
        <v>43</v>
      </c>
      <c r="Q7" s="16">
        <f>'Formula r &amp; t0'!C16</f>
        <v>3.8767840000000002</v>
      </c>
      <c r="R7" s="16">
        <f>Q$7*(1-EXP(-Q$8*N2))</f>
        <v>2.8205229210496916</v>
      </c>
      <c r="X7" s="9"/>
      <c r="Y7" s="9"/>
      <c r="AA7" s="9"/>
      <c r="AB7" s="9"/>
      <c r="AK7" s="9"/>
      <c r="AL7" s="9"/>
    </row>
    <row r="8" spans="1:38" x14ac:dyDescent="0.35">
      <c r="A8" s="1">
        <v>6</v>
      </c>
      <c r="B8" s="8">
        <v>1544444.4444444443</v>
      </c>
      <c r="C8" s="8">
        <v>2833333.3333333335</v>
      </c>
      <c r="D8" s="8">
        <v>5119444.444444444</v>
      </c>
      <c r="P8" s="3" t="s">
        <v>44</v>
      </c>
      <c r="Q8" s="16">
        <f>'Formula r &amp; t0'!D16</f>
        <v>0.18575293648216942</v>
      </c>
      <c r="X8" s="9"/>
      <c r="Y8" s="9"/>
      <c r="AA8" s="9"/>
      <c r="AB8" s="9"/>
      <c r="AK8" s="9"/>
      <c r="AL8" s="9"/>
    </row>
    <row r="9" spans="1:38" x14ac:dyDescent="0.35">
      <c r="A9" s="1">
        <v>7</v>
      </c>
      <c r="B9" s="8">
        <v>1577777.7777777778</v>
      </c>
      <c r="C9" s="8">
        <v>3133333.3333333335</v>
      </c>
      <c r="D9" s="8">
        <v>5350000</v>
      </c>
      <c r="P9" s="9"/>
      <c r="Q9" s="25"/>
    </row>
    <row r="10" spans="1:38" x14ac:dyDescent="0.35">
      <c r="A10" s="1">
        <v>8</v>
      </c>
      <c r="B10" s="8">
        <v>2300000</v>
      </c>
      <c r="C10" s="8">
        <v>4272222.2222222229</v>
      </c>
      <c r="D10" s="8">
        <v>7219444.4444444403</v>
      </c>
      <c r="J10" s="22"/>
    </row>
    <row r="11" spans="1:38" ht="21.5" customHeight="1" x14ac:dyDescent="0.35">
      <c r="L11" s="7" t="s">
        <v>72</v>
      </c>
      <c r="M11" s="42" t="s">
        <v>76</v>
      </c>
      <c r="P11" s="44" t="s">
        <v>77</v>
      </c>
      <c r="Q11" s="44"/>
    </row>
    <row r="12" spans="1:38" x14ac:dyDescent="0.35">
      <c r="A12" s="43" t="s">
        <v>68</v>
      </c>
      <c r="B12" s="43"/>
      <c r="C12" s="43"/>
      <c r="D12" s="43"/>
      <c r="K12"/>
      <c r="L12" s="5">
        <f>IF(AND(N2&gt;=6,N2&lt;=12),Q12,IF(AND(N2&gt;=13,N2&lt;=24),Q13,""))</f>
        <v>2891574.0740740742</v>
      </c>
      <c r="M12" s="29">
        <v>0.1</v>
      </c>
      <c r="P12" s="3" t="s">
        <v>30</v>
      </c>
      <c r="Q12" s="23">
        <f>IF(AND(N2&gt;=6, N2&lt;=12),M17+((M18-M17)/(12-6))*(N2-6),"")</f>
        <v>2891574.0740740742</v>
      </c>
    </row>
    <row r="13" spans="1:38" x14ac:dyDescent="0.35">
      <c r="A13" s="7" t="s">
        <v>51</v>
      </c>
      <c r="B13" s="7" t="s">
        <v>7</v>
      </c>
      <c r="C13" s="20" t="s">
        <v>34</v>
      </c>
      <c r="D13" s="7" t="s">
        <v>69</v>
      </c>
      <c r="L13" s="9"/>
      <c r="M13"/>
      <c r="P13" s="3" t="s">
        <v>31</v>
      </c>
      <c r="Q13" s="28" t="str">
        <f>IF(AND(N2&gt;=13, N2&lt;=24),M18+((M19-M18)/(24-12))*(N2-12),"")</f>
        <v/>
      </c>
    </row>
    <row r="14" spans="1:38" x14ac:dyDescent="0.35">
      <c r="A14" s="1">
        <v>1</v>
      </c>
      <c r="B14" s="1">
        <v>0</v>
      </c>
      <c r="C14" s="21">
        <f t="shared" ref="C14:C21" si="0">B14-R$7</f>
        <v>-2.8205229210496916</v>
      </c>
      <c r="D14" s="8">
        <f t="shared" ref="D14:D21" si="1">L$12/(1+(EXP(-(R$2*C14))))</f>
        <v>771401.14757240226</v>
      </c>
    </row>
    <row r="15" spans="1:38" x14ac:dyDescent="0.35">
      <c r="A15" s="1">
        <v>2</v>
      </c>
      <c r="B15" s="1">
        <v>1</v>
      </c>
      <c r="C15" s="21">
        <f t="shared" si="0"/>
        <v>-1.8205229210496916</v>
      </c>
      <c r="D15" s="8">
        <f t="shared" si="1"/>
        <v>990096.26107563276</v>
      </c>
    </row>
    <row r="16" spans="1:38" x14ac:dyDescent="0.35">
      <c r="A16" s="1">
        <v>3</v>
      </c>
      <c r="B16" s="1">
        <v>2</v>
      </c>
      <c r="C16" s="21">
        <f t="shared" si="0"/>
        <v>-0.8205229210496916</v>
      </c>
      <c r="D16" s="8">
        <f t="shared" si="1"/>
        <v>1234685.9486736525</v>
      </c>
      <c r="L16" s="4" t="s">
        <v>61</v>
      </c>
      <c r="M16" s="4" t="s">
        <v>73</v>
      </c>
      <c r="N16" s="25"/>
    </row>
    <row r="17" spans="1:28" x14ac:dyDescent="0.35">
      <c r="A17" s="1">
        <v>4</v>
      </c>
      <c r="B17" s="1">
        <v>3</v>
      </c>
      <c r="C17" s="21">
        <f t="shared" si="0"/>
        <v>0.1794770789503084</v>
      </c>
      <c r="D17" s="8">
        <f t="shared" si="1"/>
        <v>1492278.6011778477</v>
      </c>
      <c r="L17" s="3">
        <v>6</v>
      </c>
      <c r="M17" s="5">
        <f>B10+M12*B10</f>
        <v>2530000</v>
      </c>
      <c r="N17" s="25"/>
    </row>
    <row r="18" spans="1:28" x14ac:dyDescent="0.35">
      <c r="A18" s="1">
        <v>5</v>
      </c>
      <c r="B18" s="1">
        <v>4</v>
      </c>
      <c r="C18" s="21">
        <f t="shared" si="0"/>
        <v>1.1794770789503084</v>
      </c>
      <c r="D18" s="8">
        <f t="shared" si="1"/>
        <v>1746950.0719207958</v>
      </c>
      <c r="L18" s="3">
        <v>12</v>
      </c>
      <c r="M18" s="5">
        <f>C10+M12*C10</f>
        <v>4699444.444444445</v>
      </c>
      <c r="N18" s="25"/>
      <c r="AA18" s="9"/>
      <c r="AB18" s="9"/>
    </row>
    <row r="19" spans="1:28" x14ac:dyDescent="0.35">
      <c r="A19" s="1">
        <v>6</v>
      </c>
      <c r="B19" s="1">
        <v>5</v>
      </c>
      <c r="C19" s="21">
        <f t="shared" si="0"/>
        <v>2.1794770789503084</v>
      </c>
      <c r="D19" s="8">
        <f t="shared" si="1"/>
        <v>1983476.8765825233</v>
      </c>
      <c r="K19" s="9"/>
      <c r="L19" s="3">
        <v>24</v>
      </c>
      <c r="M19" s="5">
        <f>D10+M12*D10</f>
        <v>7941388.8888888843</v>
      </c>
      <c r="AA19" s="9"/>
      <c r="AB19" s="9"/>
    </row>
    <row r="20" spans="1:28" x14ac:dyDescent="0.35">
      <c r="A20" s="1">
        <v>7</v>
      </c>
      <c r="B20" s="1">
        <v>6</v>
      </c>
      <c r="C20" s="21">
        <f t="shared" si="0"/>
        <v>3.1794770789503084</v>
      </c>
      <c r="D20" s="8">
        <f t="shared" si="1"/>
        <v>2190735.5244079717</v>
      </c>
      <c r="K20" s="9"/>
      <c r="AA20" s="9"/>
      <c r="AB20" s="9"/>
    </row>
    <row r="21" spans="1:28" x14ac:dyDescent="0.35">
      <c r="A21" s="1">
        <v>8</v>
      </c>
      <c r="B21" s="1">
        <v>7</v>
      </c>
      <c r="C21" s="21">
        <f t="shared" si="0"/>
        <v>4.179477078950308</v>
      </c>
      <c r="D21" s="8">
        <f t="shared" si="1"/>
        <v>2363289.6338235727</v>
      </c>
      <c r="K21" s="9"/>
      <c r="AA21" s="9"/>
      <c r="AB21" s="9"/>
    </row>
    <row r="22" spans="1:28" x14ac:dyDescent="0.35">
      <c r="K22" s="9"/>
      <c r="AA22" s="9"/>
      <c r="AB22" s="9"/>
    </row>
    <row r="23" spans="1:28" x14ac:dyDescent="0.35">
      <c r="E23" s="43" t="s">
        <v>70</v>
      </c>
      <c r="F23" s="43"/>
      <c r="G23" s="43"/>
      <c r="H23" s="24" t="s">
        <v>61</v>
      </c>
      <c r="I23" s="43" t="s">
        <v>71</v>
      </c>
      <c r="J23" s="43"/>
      <c r="K23" s="43"/>
      <c r="AA23" s="9"/>
      <c r="AB23" s="9"/>
    </row>
    <row r="24" spans="1:28" x14ac:dyDescent="0.35">
      <c r="E24" s="4" t="s">
        <v>65</v>
      </c>
      <c r="F24" s="4" t="s">
        <v>66</v>
      </c>
      <c r="G24" s="4" t="s">
        <v>67</v>
      </c>
      <c r="H24" s="24">
        <f>N2</f>
        <v>7</v>
      </c>
      <c r="I24" s="4" t="s">
        <v>65</v>
      </c>
      <c r="J24" s="4" t="s">
        <v>66</v>
      </c>
      <c r="K24" s="4" t="s">
        <v>67</v>
      </c>
      <c r="AA24" s="9"/>
      <c r="AB24" s="9"/>
    </row>
    <row r="25" spans="1:28" x14ac:dyDescent="0.35">
      <c r="E25" s="5">
        <f>ABS((B3-D14)/B3)*100</f>
        <v>10.200163938914608</v>
      </c>
      <c r="F25" s="5">
        <f t="shared" ref="F25:F32" si="2">ABS((C3-D14)/C3)*100</f>
        <v>10.200163938914608</v>
      </c>
      <c r="G25" s="5">
        <f t="shared" ref="G25:G32" si="3">ABS((D3-D14)/D3)*100</f>
        <v>10.200163938914608</v>
      </c>
      <c r="I25" s="5">
        <f>AVERAGE(E25:E32)</f>
        <v>16.048648394459146</v>
      </c>
      <c r="J25" s="5">
        <f>AVERAGE(F25:F32)</f>
        <v>25.526795319350605</v>
      </c>
      <c r="K25" s="5">
        <f>AVERAGE(G25:G32)</f>
        <v>46.624571960290936</v>
      </c>
      <c r="AA25" s="9"/>
      <c r="AB25" s="9"/>
    </row>
    <row r="26" spans="1:28" x14ac:dyDescent="0.35">
      <c r="E26" s="5">
        <f t="shared" ref="E26:E32" si="4">ABS((B4-D15)/B4)*100</f>
        <v>5.7051179927968798</v>
      </c>
      <c r="F26" s="5">
        <f t="shared" si="2"/>
        <v>8.6064989776338923</v>
      </c>
      <c r="G26" s="5">
        <f t="shared" si="3"/>
        <v>14.728551677696691</v>
      </c>
      <c r="K26"/>
    </row>
    <row r="27" spans="1:28" x14ac:dyDescent="0.35">
      <c r="E27" s="5">
        <f t="shared" si="4"/>
        <v>5.8302241720273491</v>
      </c>
      <c r="F27" s="5">
        <f t="shared" si="2"/>
        <v>28.5390769256407</v>
      </c>
      <c r="G27" s="5">
        <f t="shared" si="3"/>
        <v>47.830171182803412</v>
      </c>
      <c r="J27" s="9"/>
      <c r="K27" s="9"/>
    </row>
    <row r="28" spans="1:28" x14ac:dyDescent="0.35">
      <c r="E28" s="5">
        <f t="shared" si="4"/>
        <v>18.854047881421483</v>
      </c>
      <c r="F28" s="5">
        <f t="shared" si="2"/>
        <v>22.141986025503602</v>
      </c>
      <c r="G28" s="5">
        <f t="shared" si="3"/>
        <v>56.037618950570767</v>
      </c>
      <c r="J28" s="9"/>
      <c r="K28" s="40"/>
    </row>
    <row r="29" spans="1:28" x14ac:dyDescent="0.35">
      <c r="E29" s="5">
        <f t="shared" si="4"/>
        <v>17.771914960952532</v>
      </c>
      <c r="F29" s="5">
        <f t="shared" si="2"/>
        <v>29.966366827228661</v>
      </c>
      <c r="G29" s="5">
        <f t="shared" si="3"/>
        <v>56.627446490242306</v>
      </c>
      <c r="J29" s="9"/>
      <c r="K29" s="40"/>
    </row>
    <row r="30" spans="1:28" x14ac:dyDescent="0.35">
      <c r="E30" s="5">
        <f t="shared" si="4"/>
        <v>28.426560354264119</v>
      </c>
      <c r="F30" s="5">
        <f t="shared" si="2"/>
        <v>29.994933767675651</v>
      </c>
      <c r="G30" s="5">
        <f t="shared" si="3"/>
        <v>61.256013262631114</v>
      </c>
      <c r="J30" s="9"/>
      <c r="K30" s="40"/>
    </row>
    <row r="31" spans="1:28" x14ac:dyDescent="0.35">
      <c r="E31" s="5">
        <f t="shared" si="4"/>
        <v>38.84943464557567</v>
      </c>
      <c r="F31" s="5">
        <f t="shared" si="2"/>
        <v>30.082908795490269</v>
      </c>
      <c r="G31" s="5">
        <f t="shared" si="3"/>
        <v>59.051672440972489</v>
      </c>
      <c r="J31" s="9"/>
      <c r="K31" s="40"/>
    </row>
    <row r="32" spans="1:28" x14ac:dyDescent="0.35">
      <c r="E32" s="5">
        <f t="shared" si="4"/>
        <v>2.7517232097205504</v>
      </c>
      <c r="F32" s="5">
        <f t="shared" si="2"/>
        <v>44.682427296717428</v>
      </c>
      <c r="G32" s="5">
        <f t="shared" si="3"/>
        <v>67.264937738496087</v>
      </c>
      <c r="K32"/>
    </row>
    <row r="33" spans="10:11" x14ac:dyDescent="0.35">
      <c r="J33" s="9"/>
      <c r="K33" s="9"/>
    </row>
    <row r="34" spans="10:11" x14ac:dyDescent="0.35">
      <c r="J34" s="9"/>
      <c r="K34" s="40"/>
    </row>
    <row r="35" spans="10:11" x14ac:dyDescent="0.35">
      <c r="J35" s="9"/>
      <c r="K35" s="40"/>
    </row>
    <row r="36" spans="10:11" x14ac:dyDescent="0.35">
      <c r="J36" s="9"/>
      <c r="K36" s="40"/>
    </row>
    <row r="37" spans="10:11" x14ac:dyDescent="0.35">
      <c r="J37" s="9"/>
      <c r="K37" s="40"/>
    </row>
  </sheetData>
  <mergeCells count="7">
    <mergeCell ref="E23:G23"/>
    <mergeCell ref="I23:K23"/>
    <mergeCell ref="A1:D1"/>
    <mergeCell ref="P1:Q1"/>
    <mergeCell ref="P6:Q6"/>
    <mergeCell ref="P11:Q11"/>
    <mergeCell ref="A12:D1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Module1.StartRunning">
                <anchor moveWithCells="1" sizeWithCells="1">
                  <from>
                    <xdr:col>11</xdr:col>
                    <xdr:colOff>203200</xdr:colOff>
                    <xdr:row>2</xdr:row>
                    <xdr:rowOff>171450</xdr:rowOff>
                  </from>
                  <to>
                    <xdr:col>12</xdr:col>
                    <xdr:colOff>25400</xdr:colOff>
                    <xdr:row>4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Module1.StopRunning">
                <anchor moveWithCells="1" sizeWithCells="1">
                  <from>
                    <xdr:col>12</xdr:col>
                    <xdr:colOff>234950</xdr:colOff>
                    <xdr:row>2</xdr:row>
                    <xdr:rowOff>171450</xdr:rowOff>
                  </from>
                  <to>
                    <xdr:col>12</xdr:col>
                    <xdr:colOff>1136650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EC637-3FA1-41F2-AEC0-6D3929471BD3}">
  <sheetPr codeName="Sheet14"/>
  <dimension ref="A1:R23"/>
  <sheetViews>
    <sheetView zoomScale="78" workbookViewId="0">
      <selection activeCell="Q19" sqref="Q19"/>
    </sheetView>
  </sheetViews>
  <sheetFormatPr defaultRowHeight="14.5" x14ac:dyDescent="0.35"/>
  <cols>
    <col min="2" max="4" width="14.81640625" bestFit="1" customWidth="1"/>
    <col min="6" max="6" width="10.7265625" bestFit="1" customWidth="1"/>
    <col min="7" max="9" width="11.81640625" bestFit="1" customWidth="1"/>
    <col min="17" max="18" width="11.81640625" bestFit="1" customWidth="1"/>
  </cols>
  <sheetData>
    <row r="1" spans="1:18" x14ac:dyDescent="0.35">
      <c r="A1" s="43" t="s">
        <v>25</v>
      </c>
      <c r="B1" s="43"/>
      <c r="C1" s="43"/>
      <c r="D1" s="43"/>
      <c r="F1" s="4" t="s">
        <v>23</v>
      </c>
      <c r="G1" s="4" t="s">
        <v>20</v>
      </c>
      <c r="Q1" s="7" t="s">
        <v>27</v>
      </c>
      <c r="R1" s="7" t="s">
        <v>16</v>
      </c>
    </row>
    <row r="2" spans="1:18" x14ac:dyDescent="0.35">
      <c r="A2" s="4" t="s">
        <v>7</v>
      </c>
      <c r="B2" s="4" t="s">
        <v>1</v>
      </c>
      <c r="C2" s="4" t="s">
        <v>2</v>
      </c>
      <c r="D2" s="4" t="s">
        <v>3</v>
      </c>
      <c r="F2" s="3">
        <v>6</v>
      </c>
      <c r="G2" s="3">
        <v>4.0979451756665162</v>
      </c>
      <c r="Q2" s="1" t="s">
        <v>1</v>
      </c>
      <c r="R2" s="10">
        <v>8.4594788857998999</v>
      </c>
    </row>
    <row r="3" spans="1:18" x14ac:dyDescent="0.35">
      <c r="A3" s="3">
        <v>0</v>
      </c>
      <c r="B3" s="3">
        <v>761325.60651260498</v>
      </c>
      <c r="C3" s="3">
        <v>729703.45101190056</v>
      </c>
      <c r="D3" s="3">
        <v>743121.27469452994</v>
      </c>
      <c r="F3" s="3">
        <v>12</v>
      </c>
      <c r="G3" s="3">
        <v>3.9340640246691168</v>
      </c>
      <c r="Q3" s="1" t="s">
        <v>2</v>
      </c>
      <c r="R3" s="10">
        <v>6.6176302643743004</v>
      </c>
    </row>
    <row r="4" spans="1:18" x14ac:dyDescent="0.35">
      <c r="A4" s="3">
        <v>1</v>
      </c>
      <c r="B4" s="3">
        <v>920236.78081959009</v>
      </c>
      <c r="C4" s="3">
        <v>1054179.0854093549</v>
      </c>
      <c r="D4" s="3">
        <v>1249957.1098265136</v>
      </c>
      <c r="F4" s="3">
        <v>24</v>
      </c>
      <c r="G4" s="3">
        <v>3.8224785112453872</v>
      </c>
      <c r="Q4" s="1" t="s">
        <v>3</v>
      </c>
      <c r="R4" s="10">
        <v>8.4991466752341953</v>
      </c>
    </row>
    <row r="5" spans="1:18" x14ac:dyDescent="0.35">
      <c r="A5" s="3">
        <v>2</v>
      </c>
      <c r="B5" s="3">
        <v>1096077.3179698484</v>
      </c>
      <c r="C5" s="3">
        <v>1472848.4686965996</v>
      </c>
      <c r="D5" s="3">
        <v>2005852.3988879812</v>
      </c>
      <c r="F5" s="3" t="s">
        <v>26</v>
      </c>
      <c r="G5" s="3">
        <f>AVERAGE(G2:G4)</f>
        <v>3.9514959038603403</v>
      </c>
    </row>
    <row r="6" spans="1:18" x14ac:dyDescent="0.35">
      <c r="A6" s="3">
        <v>3</v>
      </c>
      <c r="B6" s="3">
        <v>1284761.6251839912</v>
      </c>
      <c r="C6" s="3">
        <v>1974019.0833607302</v>
      </c>
      <c r="D6" s="3">
        <v>3012399.6386214886</v>
      </c>
    </row>
    <row r="7" spans="1:18" x14ac:dyDescent="0.35">
      <c r="A7" s="3">
        <v>4</v>
      </c>
      <c r="B7" s="3">
        <v>1480666.7131117131</v>
      </c>
      <c r="C7" s="3">
        <v>2522781.9102717014</v>
      </c>
      <c r="D7" s="3">
        <v>4168037.84472282</v>
      </c>
    </row>
    <row r="8" spans="1:18" x14ac:dyDescent="0.35">
      <c r="A8" s="3">
        <v>5</v>
      </c>
      <c r="B8" s="3">
        <v>1677233.6845887294</v>
      </c>
      <c r="C8" s="3">
        <v>3067993.7121497784</v>
      </c>
      <c r="D8" s="3">
        <v>5289153.8488986716</v>
      </c>
    </row>
    <row r="9" spans="1:18" x14ac:dyDescent="0.35">
      <c r="A9" s="3">
        <v>6</v>
      </c>
      <c r="B9" s="3">
        <v>1867815.2850621501</v>
      </c>
      <c r="C9" s="3">
        <v>3559792.7822661577</v>
      </c>
      <c r="D9" s="3">
        <v>6212439.5816610772</v>
      </c>
    </row>
    <row r="10" spans="1:18" x14ac:dyDescent="0.35">
      <c r="A10" s="3">
        <v>7</v>
      </c>
      <c r="B10" s="3">
        <v>2046547.5887061642</v>
      </c>
      <c r="C10" s="3">
        <v>3966224.8997188555</v>
      </c>
      <c r="D10" s="3">
        <v>6875594.8941117171</v>
      </c>
    </row>
    <row r="12" spans="1:18" x14ac:dyDescent="0.35">
      <c r="A12" s="4" t="s">
        <v>20</v>
      </c>
      <c r="B12" s="6">
        <v>4.0979451756665162</v>
      </c>
      <c r="C12" s="6">
        <v>3.9340640246691168</v>
      </c>
      <c r="D12" s="6">
        <v>3.8224785112453872</v>
      </c>
    </row>
    <row r="14" spans="1:18" x14ac:dyDescent="0.35">
      <c r="A14" s="45" t="s">
        <v>0</v>
      </c>
      <c r="B14" s="2" t="s">
        <v>1</v>
      </c>
      <c r="C14" s="2" t="s">
        <v>2</v>
      </c>
      <c r="D14" s="2" t="s">
        <v>3</v>
      </c>
    </row>
    <row r="15" spans="1:18" x14ac:dyDescent="0.35">
      <c r="A15" s="45"/>
      <c r="B15" s="2" t="s">
        <v>4</v>
      </c>
      <c r="C15" s="2" t="s">
        <v>4</v>
      </c>
      <c r="D15" s="2" t="s">
        <v>4</v>
      </c>
    </row>
    <row r="16" spans="1:18" x14ac:dyDescent="0.35">
      <c r="A16" s="1">
        <v>1</v>
      </c>
      <c r="B16" s="1">
        <v>700000</v>
      </c>
      <c r="C16" s="1">
        <v>700000</v>
      </c>
      <c r="D16" s="1">
        <v>700000</v>
      </c>
    </row>
    <row r="17" spans="1:4" x14ac:dyDescent="0.35">
      <c r="A17" s="1">
        <v>2</v>
      </c>
      <c r="B17" s="1">
        <v>1050000</v>
      </c>
      <c r="C17" s="1">
        <v>1083333.3333333333</v>
      </c>
      <c r="D17" s="1">
        <v>1161111.111111111</v>
      </c>
    </row>
    <row r="18" spans="1:4" x14ac:dyDescent="0.35">
      <c r="A18" s="1">
        <v>3</v>
      </c>
      <c r="B18" s="1">
        <v>1166666.6666666667</v>
      </c>
      <c r="C18" s="1">
        <v>1727777.777777778</v>
      </c>
      <c r="D18" s="1">
        <v>2366666.6666666665</v>
      </c>
    </row>
    <row r="19" spans="1:4" x14ac:dyDescent="0.35">
      <c r="A19" s="1">
        <v>4</v>
      </c>
      <c r="B19" s="1">
        <v>1255555.5555555557</v>
      </c>
      <c r="C19" s="1">
        <v>1916666.6666666667</v>
      </c>
      <c r="D19" s="1">
        <v>3394444.444444444</v>
      </c>
    </row>
    <row r="20" spans="1:4" x14ac:dyDescent="0.35">
      <c r="A20" s="1">
        <v>5</v>
      </c>
      <c r="B20" s="1">
        <v>1483333.3333333333</v>
      </c>
      <c r="C20" s="1">
        <v>2494444.444444444</v>
      </c>
      <c r="D20" s="1">
        <v>4027777.7777777775</v>
      </c>
    </row>
    <row r="21" spans="1:4" x14ac:dyDescent="0.35">
      <c r="A21" s="1">
        <v>6</v>
      </c>
      <c r="B21" s="1">
        <v>1544444.4444444443</v>
      </c>
      <c r="C21" s="1">
        <v>2833333.3333333335</v>
      </c>
      <c r="D21" s="1">
        <v>5119444.444444444</v>
      </c>
    </row>
    <row r="22" spans="1:4" x14ac:dyDescent="0.35">
      <c r="A22" s="1">
        <v>7</v>
      </c>
      <c r="B22" s="1">
        <v>1577777.7777777778</v>
      </c>
      <c r="C22" s="1">
        <v>3133333.3333333335</v>
      </c>
      <c r="D22" s="1">
        <v>5350000</v>
      </c>
    </row>
    <row r="23" spans="1:4" x14ac:dyDescent="0.35">
      <c r="A23" s="1">
        <v>8</v>
      </c>
      <c r="B23" s="1">
        <v>2300000</v>
      </c>
      <c r="C23" s="1">
        <v>4272222.2222222229</v>
      </c>
      <c r="D23" s="1">
        <v>7219444.444444445</v>
      </c>
    </row>
  </sheetData>
  <mergeCells count="2">
    <mergeCell ref="A1:D1"/>
    <mergeCell ref="A14:A15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 Fix</vt:lpstr>
      <vt:lpstr>Logistics Model 6 hours</vt:lpstr>
      <vt:lpstr>Logistics Model 12 hours</vt:lpstr>
      <vt:lpstr>Logistics Model 24 hours</vt:lpstr>
      <vt:lpstr>Variable analysis</vt:lpstr>
      <vt:lpstr>Formula r &amp; t0</vt:lpstr>
      <vt:lpstr>Modified Logistic Model</vt:lpstr>
      <vt:lpstr>Overall Logistic 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yogaandri0402@gmail.com</dc:creator>
  <cp:lastModifiedBy>Yoga Andriyanto</cp:lastModifiedBy>
  <dcterms:created xsi:type="dcterms:W3CDTF">2024-10-01T05:06:48Z</dcterms:created>
  <dcterms:modified xsi:type="dcterms:W3CDTF">2025-07-14T08:15:42Z</dcterms:modified>
</cp:coreProperties>
</file>